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AD2306039P01\Desktop\안전보건자료\23 상반기_중처법 이행상태 평가 보고서_최종\26\"/>
    </mc:Choice>
  </mc:AlternateContent>
  <xr:revisionPtr revIDLastSave="0" documentId="11_FE442C5DC10BAA00CE51D8538C365C082186D5A4" xr6:coauthVersionLast="47" xr6:coauthVersionMax="47" xr10:uidLastSave="{00000000-0000-0000-0000-000000000000}"/>
  <bookViews>
    <workbookView xWindow="0" yWindow="0" windowWidth="28440" windowHeight="11910" tabRatio="880" xr2:uid="{00000000-000D-0000-FFFF-FFFF00000000}"/>
  </bookViews>
  <sheets>
    <sheet name="SUM" sheetId="2" r:id="rId1"/>
    <sheet name="SUM2" sheetId="25" r:id="rId2"/>
    <sheet name="1.건강검진(안전보건,인사)" sheetId="24" r:id="rId3"/>
    <sheet name="2.(신축팀)" sheetId="4" r:id="rId4"/>
    <sheet name="3.(매장 안전모, 사다리_총무관리)" sheetId="15" r:id="rId5"/>
    <sheet name="4.(소화기, 매장비품)" sheetId="17" r:id="rId6"/>
    <sheet name="5.(매장시설관리팀)" sheetId="20" r:id="rId7"/>
  </sheets>
  <definedNames>
    <definedName name="_xlnm._FilterDatabase" localSheetId="2" hidden="1">'1.건강검진(안전보건,인사)'!#REF!</definedName>
    <definedName name="_xlnm._FilterDatabase" localSheetId="6" hidden="1">'5.(매장시설관리팀)'!$B$3:$F$3353</definedName>
    <definedName name="_xlnm.Print_Area" localSheetId="1">'SUM2'!$A$1:$AN$63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7" i="25" l="1"/>
  <c r="C51" i="25"/>
  <c r="C47" i="25"/>
  <c r="C40" i="25"/>
  <c r="C38" i="25"/>
  <c r="C36" i="25"/>
  <c r="C33" i="25"/>
  <c r="C30" i="25"/>
  <c r="C27" i="25"/>
  <c r="C23" i="25"/>
  <c r="C19" i="25"/>
  <c r="C12" i="25"/>
  <c r="M47" i="25"/>
  <c r="J47" i="25"/>
  <c r="G47" i="25"/>
  <c r="V27" i="25"/>
  <c r="S27" i="25"/>
  <c r="P27" i="25"/>
  <c r="M27" i="25"/>
  <c r="G27" i="25"/>
  <c r="J12" i="25"/>
  <c r="G12" i="25"/>
  <c r="G19" i="25"/>
  <c r="H16" i="24"/>
  <c r="D16" i="24"/>
  <c r="L16" i="24"/>
  <c r="C16" i="2" l="1"/>
  <c r="C14" i="2"/>
  <c r="C12" i="2"/>
  <c r="C11" i="2"/>
  <c r="C10" i="2"/>
  <c r="C9" i="2"/>
  <c r="C8" i="2"/>
  <c r="AN51" i="25"/>
  <c r="AK51" i="25"/>
  <c r="AH51" i="25"/>
  <c r="AE51" i="25"/>
  <c r="AB51" i="25"/>
  <c r="Y51" i="25"/>
  <c r="V51" i="25"/>
  <c r="S51" i="25"/>
  <c r="P51" i="25"/>
  <c r="M51" i="25"/>
  <c r="J51" i="25"/>
  <c r="G51" i="25"/>
  <c r="AN47" i="25"/>
  <c r="AK47" i="25"/>
  <c r="AH47" i="25"/>
  <c r="AE47" i="25"/>
  <c r="AB47" i="25"/>
  <c r="Y47" i="25"/>
  <c r="V47" i="25"/>
  <c r="S47" i="25"/>
  <c r="C15" i="2"/>
  <c r="AN40" i="25"/>
  <c r="AK40" i="25"/>
  <c r="AH40" i="25"/>
  <c r="AE40" i="25"/>
  <c r="AB40" i="25"/>
  <c r="Y40" i="25"/>
  <c r="V40" i="25"/>
  <c r="S40" i="25"/>
  <c r="P40" i="25"/>
  <c r="M40" i="25"/>
  <c r="J40" i="25"/>
  <c r="G40" i="25"/>
  <c r="AN38" i="25"/>
  <c r="AK38" i="25"/>
  <c r="AH38" i="25"/>
  <c r="AE38" i="25"/>
  <c r="AB38" i="25"/>
  <c r="Y38" i="25"/>
  <c r="V38" i="25"/>
  <c r="S38" i="25"/>
  <c r="M38" i="25"/>
  <c r="J38" i="25"/>
  <c r="G38" i="25"/>
  <c r="AN36" i="25"/>
  <c r="AK36" i="25"/>
  <c r="AH36" i="25"/>
  <c r="AE36" i="25"/>
  <c r="AB36" i="25"/>
  <c r="Y36" i="25"/>
  <c r="V36" i="25"/>
  <c r="S36" i="25"/>
  <c r="M36" i="25"/>
  <c r="J36" i="25"/>
  <c r="G36" i="25"/>
  <c r="AN33" i="25"/>
  <c r="AK33" i="25"/>
  <c r="AH33" i="25"/>
  <c r="AE33" i="25"/>
  <c r="AB33" i="25"/>
  <c r="Y33" i="25"/>
  <c r="V33" i="25"/>
  <c r="S33" i="25"/>
  <c r="P33" i="25"/>
  <c r="M33" i="25"/>
  <c r="J33" i="25"/>
  <c r="G33" i="25"/>
  <c r="AN30" i="25"/>
  <c r="AK30" i="25"/>
  <c r="AH30" i="25"/>
  <c r="AE30" i="25"/>
  <c r="AB30" i="25"/>
  <c r="Y30" i="25"/>
  <c r="V30" i="25"/>
  <c r="S30" i="25"/>
  <c r="P30" i="25"/>
  <c r="M30" i="25"/>
  <c r="J30" i="25"/>
  <c r="G30" i="25"/>
  <c r="AN27" i="25"/>
  <c r="AK27" i="25"/>
  <c r="AH27" i="25"/>
  <c r="AE27" i="25"/>
  <c r="AB27" i="25"/>
  <c r="Y27" i="25"/>
  <c r="J27" i="25"/>
  <c r="G26" i="25"/>
  <c r="G25" i="25"/>
  <c r="V24" i="25"/>
  <c r="G24" i="25"/>
  <c r="AN23" i="25"/>
  <c r="AK23" i="25"/>
  <c r="AK5" i="25" s="1"/>
  <c r="AH23" i="25"/>
  <c r="AH5" i="25" s="1"/>
  <c r="AE23" i="25"/>
  <c r="AB23" i="25"/>
  <c r="Y23" i="25"/>
  <c r="V23" i="25"/>
  <c r="S23" i="25"/>
  <c r="P23" i="25"/>
  <c r="M23" i="25"/>
  <c r="J23" i="25"/>
  <c r="G23" i="25"/>
  <c r="AN19" i="25"/>
  <c r="AK19" i="25"/>
  <c r="AH19" i="25"/>
  <c r="AE19" i="25"/>
  <c r="AB19" i="25"/>
  <c r="Y19" i="25"/>
  <c r="Y5" i="25" s="1"/>
  <c r="V19" i="25"/>
  <c r="S18" i="25"/>
  <c r="P18" i="25"/>
  <c r="M18" i="25"/>
  <c r="J18" i="25"/>
  <c r="G18" i="25"/>
  <c r="V17" i="25"/>
  <c r="S17" i="25"/>
  <c r="S19" i="25" s="1"/>
  <c r="P17" i="25"/>
  <c r="M17" i="25"/>
  <c r="M19" i="25" s="1"/>
  <c r="J17" i="25"/>
  <c r="J19" i="25" s="1"/>
  <c r="G17" i="25"/>
  <c r="C7" i="2" s="1"/>
  <c r="P15" i="25"/>
  <c r="P19" i="25" s="1"/>
  <c r="AN12" i="25"/>
  <c r="AN5" i="25" s="1"/>
  <c r="AK12" i="25"/>
  <c r="AH12" i="25"/>
  <c r="AE12" i="25"/>
  <c r="AE5" i="25" s="1"/>
  <c r="AB12" i="25"/>
  <c r="AB5" i="25" s="1"/>
  <c r="Y12" i="25"/>
  <c r="M9" i="25"/>
  <c r="J9" i="25"/>
  <c r="S8" i="25"/>
  <c r="P8" i="25"/>
  <c r="M8" i="25"/>
  <c r="J8" i="25"/>
  <c r="G8" i="25"/>
  <c r="V7" i="25"/>
  <c r="V12" i="25" s="1"/>
  <c r="V5" i="25" s="1"/>
  <c r="S7" i="25"/>
  <c r="P7" i="25"/>
  <c r="M7" i="25"/>
  <c r="J7" i="25"/>
  <c r="G7" i="25"/>
  <c r="S6" i="25"/>
  <c r="S12" i="25" s="1"/>
  <c r="S5" i="25" s="1"/>
  <c r="P6" i="25"/>
  <c r="P12" i="25" s="1"/>
  <c r="P5" i="25" s="1"/>
  <c r="M6" i="25"/>
  <c r="M12" i="25" s="1"/>
  <c r="M5" i="25" s="1"/>
  <c r="G5" i="25" l="1"/>
  <c r="C6" i="2"/>
  <c r="J5" i="25"/>
  <c r="C5" i="25" l="1"/>
  <c r="P28" i="17"/>
  <c r="H9" i="24" l="1"/>
  <c r="N28" i="17" l="1"/>
  <c r="L28" i="17"/>
  <c r="J28" i="17"/>
  <c r="H28" i="17"/>
  <c r="F28" i="17"/>
  <c r="L7" i="15"/>
  <c r="N166" i="15" l="1"/>
  <c r="L166" i="15"/>
  <c r="J166" i="15"/>
  <c r="H166" i="15"/>
  <c r="F166" i="15"/>
  <c r="C5" i="15" s="1"/>
  <c r="P166" i="15"/>
  <c r="R166" i="15"/>
  <c r="Z166" i="15"/>
  <c r="X166" i="15"/>
  <c r="T166" i="15"/>
  <c r="V166" i="15"/>
  <c r="D16" i="17" l="1"/>
  <c r="C5" i="2" l="1"/>
  <c r="G13" i="4"/>
  <c r="AB166" i="15" l="1"/>
  <c r="C166" i="15" l="1"/>
</calcChain>
</file>

<file path=xl/sharedStrings.xml><?xml version="1.0" encoding="utf-8"?>
<sst xmlns="http://schemas.openxmlformats.org/spreadsheetml/2006/main" count="10477" uniqueCount="2643">
  <si>
    <t>2026년 안전보건 상반기 예산 집행내역</t>
    <phoneticPr fontId="1" type="noConversion"/>
  </si>
  <si>
    <t>구 분</t>
    <phoneticPr fontId="1" type="noConversion"/>
  </si>
  <si>
    <t>집행액</t>
    <phoneticPr fontId="1" type="noConversion"/>
  </si>
  <si>
    <t>총 계</t>
    <phoneticPr fontId="1" type="noConversion"/>
  </si>
  <si>
    <t>1. 현장 안전시설 개선비용</t>
  </si>
  <si>
    <t>2. 개인보호구 및 안전장비 구입비용</t>
  </si>
  <si>
    <t>3. 안전보건교육 실시비용(내/외부)</t>
  </si>
  <si>
    <t>4. 작업환경 측정 및 근로자 건강검진 실시비용</t>
  </si>
  <si>
    <t>5. 재해예방 기술지도비용</t>
  </si>
  <si>
    <t>6. 안전관련 행사비용</t>
  </si>
  <si>
    <t>7. 안전보건표지 비용</t>
  </si>
  <si>
    <t>8. 관련회의 및 토론회 개최비용</t>
  </si>
  <si>
    <t>9. 안전포상비용</t>
  </si>
  <si>
    <t>10. 기타비용</t>
  </si>
  <si>
    <t>11. 인건비</t>
  </si>
  <si>
    <t>구   분</t>
    <phoneticPr fontId="1" type="noConversion"/>
  </si>
  <si>
    <t>분류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</si>
  <si>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</si>
  <si>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</si>
  <si>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</si>
  <si>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</si>
  <si>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</si>
  <si>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</si>
  <si>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</si>
  <si>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</si>
  <si>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</si>
  <si>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</si>
  <si>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</si>
  <si>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</si>
  <si>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합 계</t>
    <phoneticPr fontId="1" type="noConversion"/>
  </si>
  <si>
    <t>합계</t>
    <phoneticPr fontId="1" type="noConversion"/>
  </si>
  <si>
    <t>1. 현장 안전시설 개선비용</t>
    <phoneticPr fontId="1" type="noConversion"/>
  </si>
  <si>
    <t>세부내역</t>
    <phoneticPr fontId="1" type="noConversion"/>
  </si>
  <si>
    <t>건대입구점 등 756건</t>
    <phoneticPr fontId="1" type="noConversion"/>
  </si>
  <si>
    <t>매장시설관리팀</t>
    <phoneticPr fontId="1" type="noConversion"/>
  </si>
  <si>
    <t>주염점 등 578건</t>
    <phoneticPr fontId="1" type="noConversion"/>
  </si>
  <si>
    <t>수원인계본점 등 649건</t>
    <phoneticPr fontId="1" type="noConversion"/>
  </si>
  <si>
    <t>수원고색점 등 680건</t>
    <phoneticPr fontId="1" type="noConversion"/>
  </si>
  <si>
    <t>인천석바위점 등 686건</t>
    <phoneticPr fontId="1" type="noConversion"/>
  </si>
  <si>
    <t>투명코너매트(788개)</t>
    <phoneticPr fontId="1" type="noConversion"/>
  </si>
  <si>
    <t>총무관리팀</t>
    <phoneticPr fontId="1" type="noConversion"/>
  </si>
  <si>
    <t>투명코너매트(635개)</t>
    <phoneticPr fontId="1" type="noConversion"/>
  </si>
  <si>
    <t>투명코너매트(503개)</t>
    <phoneticPr fontId="1" type="noConversion"/>
  </si>
  <si>
    <t>투명코너매트(704개)</t>
    <phoneticPr fontId="1" type="noConversion"/>
  </si>
  <si>
    <t>투명코너매트(141개)</t>
    <phoneticPr fontId="1" type="noConversion"/>
  </si>
  <si>
    <t>투명코너매트(6개)</t>
    <phoneticPr fontId="1" type="noConversion"/>
  </si>
  <si>
    <t>모서리보호(536개)</t>
    <phoneticPr fontId="1" type="noConversion"/>
  </si>
  <si>
    <t>로스관리팀</t>
    <phoneticPr fontId="1" type="noConversion"/>
  </si>
  <si>
    <t>모서리보호(137개)</t>
    <phoneticPr fontId="1" type="noConversion"/>
  </si>
  <si>
    <t>모서리보호(445개)</t>
    <phoneticPr fontId="1" type="noConversion"/>
  </si>
  <si>
    <t>모서리보호(1,559개)</t>
    <phoneticPr fontId="1" type="noConversion"/>
  </si>
  <si>
    <t>모서리보호(3,678개)</t>
    <phoneticPr fontId="1" type="noConversion"/>
  </si>
  <si>
    <t>김포구래2호점 안전모 등</t>
    <phoneticPr fontId="1" type="noConversion"/>
  </si>
  <si>
    <t>신축팀</t>
    <phoneticPr fontId="1" type="noConversion"/>
  </si>
  <si>
    <t>평택팽성점 안전모(10)</t>
    <phoneticPr fontId="1" type="noConversion"/>
  </si>
  <si>
    <t>비용</t>
    <phoneticPr fontId="1" type="noConversion"/>
  </si>
  <si>
    <t>2. 개인보호구 및 안전장비 구입비용</t>
    <phoneticPr fontId="1" type="noConversion"/>
  </si>
  <si>
    <t>총무_매장 사다리 구매 [3단]</t>
    <phoneticPr fontId="1" type="noConversion"/>
  </si>
  <si>
    <t>-</t>
    <phoneticPr fontId="1" type="noConversion"/>
  </si>
  <si>
    <t>롯데마트행당역점</t>
    <phoneticPr fontId="1" type="noConversion"/>
  </si>
  <si>
    <t>총무_매장 안전모 구매</t>
    <phoneticPr fontId="1" type="noConversion"/>
  </si>
  <si>
    <t>총무_매장 사다리 구매 [4단]</t>
    <phoneticPr fontId="1" type="noConversion"/>
  </si>
  <si>
    <t>롯데마트맥스창원중앙점</t>
    <phoneticPr fontId="1" type="noConversion"/>
  </si>
  <si>
    <t>롯데마트서울역점</t>
    <phoneticPr fontId="1" type="noConversion"/>
  </si>
  <si>
    <t>남양주화도점</t>
    <phoneticPr fontId="1" type="noConversion"/>
  </si>
  <si>
    <t>롯데마트삼산점</t>
    <phoneticPr fontId="1" type="noConversion"/>
  </si>
  <si>
    <t>대전괴정점</t>
    <phoneticPr fontId="1" type="noConversion"/>
  </si>
  <si>
    <t>소화기</t>
    <phoneticPr fontId="1" type="noConversion"/>
  </si>
  <si>
    <t>작업용 장갑</t>
    <phoneticPr fontId="1" type="noConversion"/>
  </si>
  <si>
    <t>3. 안전보건교육 실시비용(내/외부)</t>
    <phoneticPr fontId="1" type="noConversion"/>
  </si>
  <si>
    <t>중대재해처벌법 대응 교육(박찬욱, 서유림, 조지현)</t>
    <phoneticPr fontId="1" type="noConversion"/>
  </si>
  <si>
    <t>안전보건팀</t>
    <phoneticPr fontId="1" type="noConversion"/>
  </si>
  <si>
    <t>보건관리자 신규교육(윤정인)</t>
    <phoneticPr fontId="1" type="noConversion"/>
  </si>
  <si>
    <t>안전관리자 보수교육(강동현)</t>
    <phoneticPr fontId="1" type="noConversion"/>
  </si>
  <si>
    <t>안전관리자 보수교육(유준하)</t>
    <phoneticPr fontId="1" type="noConversion"/>
  </si>
  <si>
    <t>중대재해처벌법과 산업안전보건체계의 구축 실무(박찬욱)</t>
    <phoneticPr fontId="1" type="noConversion"/>
  </si>
  <si>
    <t>4. 작업환경 측정 및 근로자 건강검진 실시비용</t>
    <phoneticPr fontId="1" type="noConversion"/>
  </si>
  <si>
    <t>임원건강검진(5명_배우자 포함)</t>
    <phoneticPr fontId="1" type="noConversion"/>
  </si>
  <si>
    <t>임원건강검진(4명_배우자 포함)</t>
  </si>
  <si>
    <t>임원건강검진(1명_배우자)</t>
  </si>
  <si>
    <t>임원건강검진(6명_배우자 포함)</t>
  </si>
  <si>
    <t>26년 상반기 신입/경력 공개채용 채용검진비(64명)</t>
    <phoneticPr fontId="1" type="noConversion"/>
  </si>
  <si>
    <t>25년 하반기 경력 수시채용 채용검진비(1명)</t>
    <phoneticPr fontId="1" type="noConversion"/>
  </si>
  <si>
    <t>인사관리팀</t>
    <phoneticPr fontId="1" type="noConversion"/>
  </si>
  <si>
    <t>26년 상반기 경력 채용 채용검진비(1명)</t>
    <phoneticPr fontId="1" type="noConversion"/>
  </si>
  <si>
    <t>26년 상반기 경력 채용 채용검진비(2명)</t>
    <phoneticPr fontId="1" type="noConversion"/>
  </si>
  <si>
    <t>특수건강검진(구본찬, 예상훈, 유현철)</t>
  </si>
  <si>
    <t>특수건강검진(문선익)</t>
    <phoneticPr fontId="1" type="noConversion"/>
  </si>
  <si>
    <t>5. 재해예방 기술지도비용</t>
    <phoneticPr fontId="1" type="noConversion"/>
  </si>
  <si>
    <t>6. 안전관련 행사비용</t>
    <phoneticPr fontId="1" type="noConversion"/>
  </si>
  <si>
    <t>매장 워크온 플랫폼 이용비용(보건)</t>
    <phoneticPr fontId="1" type="noConversion"/>
  </si>
  <si>
    <t>ISO45001 사후심사 비용(KFQ)</t>
  </si>
  <si>
    <t>7. 안전보건표지 비용</t>
    <phoneticPr fontId="1" type="noConversion"/>
  </si>
  <si>
    <t>8. 관련회의 및 토론회 개최비용</t>
    <phoneticPr fontId="1" type="noConversion"/>
  </si>
  <si>
    <t>9. 안전포상비용</t>
    <phoneticPr fontId="1" type="noConversion"/>
  </si>
  <si>
    <t>매장 워크온 포상비용(보건)</t>
    <phoneticPr fontId="1" type="noConversion"/>
  </si>
  <si>
    <t>10. 기타비용</t>
    <phoneticPr fontId="1" type="noConversion"/>
  </si>
  <si>
    <t>AED 렌탈비(4대)</t>
  </si>
  <si>
    <t>총무팀</t>
    <phoneticPr fontId="1" type="noConversion"/>
  </si>
  <si>
    <t>AED 렌탈비(5대)</t>
  </si>
  <si>
    <t>공기청정기 렌탈비</t>
  </si>
  <si>
    <t>총무관리팀</t>
  </si>
  <si>
    <t>의약품구매</t>
    <phoneticPr fontId="1" type="noConversion"/>
  </si>
  <si>
    <t xml:space="preserve">대한산업안전협회 연회비 </t>
  </si>
  <si>
    <t>안전보건팀</t>
  </si>
  <si>
    <t>직업건강협회 연회비</t>
  </si>
  <si>
    <t>11. 인건비</t>
    <phoneticPr fontId="1" type="noConversion"/>
  </si>
  <si>
    <t>[신축팀]_이석창대리
- 2022년 입찰부터 안전관리비 책정 시작
- 인테리어 업체의 사용 내역 증빙 시 비용 인정
- 하반기 전매장 자동 승강그릴설치비용</t>
    <phoneticPr fontId="1" type="noConversion"/>
  </si>
  <si>
    <t>[인사관리팀]_김연재사원
- 신규채용자 검진</t>
    <phoneticPr fontId="1" type="noConversion"/>
  </si>
  <si>
    <t>[자산관리팀]</t>
    <phoneticPr fontId="1" type="noConversion"/>
  </si>
  <si>
    <t>황지영 사원_매장 내 사다리, 안전모, 사다리 컨베이어</t>
    <phoneticPr fontId="1" type="noConversion"/>
  </si>
  <si>
    <t xml:space="preserve">2026년도 임원 건강검진비 </t>
    <phoneticPr fontId="1" type="noConversion"/>
  </si>
  <si>
    <t xml:space="preserve">2026년도 채용 검진비 </t>
    <phoneticPr fontId="1" type="noConversion"/>
  </si>
  <si>
    <t xml:space="preserve">2026년도 특수건강검진비 </t>
    <phoneticPr fontId="1" type="noConversion"/>
  </si>
  <si>
    <t>내용</t>
    <phoneticPr fontId="1" type="noConversion"/>
  </si>
  <si>
    <t>총 비용(원)</t>
    <phoneticPr fontId="1" type="noConversion"/>
  </si>
  <si>
    <t>1월</t>
  </si>
  <si>
    <t>임원건강검진(5명_배우자 포함)</t>
  </si>
  <si>
    <t>특수건강검진(문선익)</t>
  </si>
  <si>
    <t>2월</t>
  </si>
  <si>
    <t>-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</si>
  <si>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</si>
  <si>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</si>
  <si>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</si>
  <si>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</si>
  <si>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</si>
  <si>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</si>
  <si>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</si>
  <si>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</si>
  <si>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</si>
  <si>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</si>
  <si>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예시) 임원건강검진(4명_배우자 포함)</t>
    <phoneticPr fontId="1" type="noConversion"/>
  </si>
  <si>
    <t>예시_경력 수시채용 채용검진비(10명)</t>
    <phoneticPr fontId="1" type="noConversion"/>
  </si>
  <si>
    <t>예시)특수건강검진 (이름)</t>
    <phoneticPr fontId="1" type="noConversion"/>
  </si>
  <si>
    <t>신축팀 2026년도 안전관리비 내역</t>
    <phoneticPr fontId="1" type="noConversion"/>
  </si>
  <si>
    <t>No.</t>
    <phoneticPr fontId="1" type="noConversion"/>
  </si>
  <si>
    <t>매장명</t>
    <phoneticPr fontId="1" type="noConversion"/>
  </si>
  <si>
    <t>오픈일</t>
    <phoneticPr fontId="1" type="noConversion"/>
  </si>
  <si>
    <t>입찰연도</t>
    <phoneticPr fontId="1" type="noConversion"/>
  </si>
  <si>
    <t>항목</t>
    <phoneticPr fontId="1" type="noConversion"/>
  </si>
  <si>
    <t>안전관리비</t>
    <phoneticPr fontId="1" type="noConversion"/>
  </si>
  <si>
    <t>울주삼남교동점</t>
    <phoneticPr fontId="1" type="noConversion"/>
  </si>
  <si>
    <t>26.02.05</t>
    <phoneticPr fontId="1" type="noConversion"/>
  </si>
  <si>
    <t>미사용</t>
    <phoneticPr fontId="1" type="noConversion"/>
  </si>
  <si>
    <t>부산정관신도시2호점</t>
    <phoneticPr fontId="1" type="noConversion"/>
  </si>
  <si>
    <t>26.02.12</t>
    <phoneticPr fontId="1" type="noConversion"/>
  </si>
  <si>
    <t>부산덕포점</t>
    <phoneticPr fontId="1" type="noConversion"/>
  </si>
  <si>
    <t>26.02.27</t>
    <phoneticPr fontId="1" type="noConversion"/>
  </si>
  <si>
    <t>김포구래2호점</t>
    <phoneticPr fontId="1" type="noConversion"/>
  </si>
  <si>
    <t>안전관리</t>
    <phoneticPr fontId="1" type="noConversion"/>
  </si>
  <si>
    <t>안전모10, 안전벨트2, 구급상자1</t>
    <phoneticPr fontId="1" type="noConversion"/>
  </si>
  <si>
    <t>평택팽성점</t>
    <phoneticPr fontId="1" type="noConversion"/>
  </si>
  <si>
    <t>26.03.07</t>
    <phoneticPr fontId="1" type="noConversion"/>
  </si>
  <si>
    <t>안전모10</t>
    <phoneticPr fontId="1" type="noConversion"/>
  </si>
  <si>
    <t>포항성곡점</t>
    <phoneticPr fontId="1" type="noConversion"/>
  </si>
  <si>
    <t>26.05.29</t>
    <phoneticPr fontId="1" type="noConversion"/>
  </si>
  <si>
    <t>강릉송정점</t>
    <phoneticPr fontId="1" type="noConversion"/>
  </si>
  <si>
    <t>26.06.26</t>
    <phoneticPr fontId="1" type="noConversion"/>
  </si>
  <si>
    <t>정산중</t>
    <phoneticPr fontId="1" type="noConversion"/>
  </si>
  <si>
    <t>총계</t>
    <phoneticPr fontId="1" type="noConversion"/>
  </si>
  <si>
    <t>※ 2022년 입찰부터 안전관리비 책정 시작 및 인테리어 업체의 사용 내역 증빙 시 비용 인정</t>
    <phoneticPr fontId="1" type="noConversion"/>
  </si>
  <si>
    <t>3단, 4단, 5단 사다리, 우마형사다리. 사다리 컨베이어, 안전모</t>
  </si>
  <si>
    <t>총      합     계</t>
    <phoneticPr fontId="1" type="noConversion"/>
  </si>
  <si>
    <t>2026년 매장 소화기 입고건</t>
    <phoneticPr fontId="1" type="noConversion"/>
  </si>
  <si>
    <t>수량(개)</t>
    <phoneticPr fontId="1" type="noConversion"/>
  </si>
  <si>
    <t>공급가액(원)</t>
    <phoneticPr fontId="1" type="noConversion"/>
  </si>
  <si>
    <t>□ 매장소모품 사용 현황(1월~6월)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</si>
  <si>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</si>
  <si>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</si>
  <si>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</si>
  <si>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수량</t>
    <phoneticPr fontId="1" type="noConversion"/>
  </si>
  <si>
    <t>금액</t>
    <phoneticPr fontId="1" type="noConversion"/>
  </si>
  <si>
    <t>공구/전기</t>
  </si>
  <si>
    <t>수공구용품</t>
  </si>
  <si>
    <t>작업용장갑</t>
  </si>
  <si>
    <t>안전</t>
  </si>
  <si>
    <t>모서리보호</t>
  </si>
  <si>
    <t>뷰티/퍼스널케어</t>
  </si>
  <si>
    <t>바디용품</t>
  </si>
  <si>
    <t>손소독제</t>
  </si>
  <si>
    <t>매장용 소독액</t>
    <phoneticPr fontId="1" type="noConversion"/>
  </si>
  <si>
    <t>투명코너매트</t>
    <phoneticPr fontId="1" type="noConversion"/>
  </si>
  <si>
    <t>고무밴드</t>
    <phoneticPr fontId="1" type="noConversion"/>
  </si>
  <si>
    <t>26년도 현장 안전시설 개선 내역 (1~5월)</t>
    <phoneticPr fontId="1" type="noConversion"/>
  </si>
  <si>
    <t>순번</t>
  </si>
  <si>
    <t>매장명</t>
  </si>
  <si>
    <t>유형상세</t>
  </si>
  <si>
    <t>금액</t>
  </si>
  <si>
    <t>일자</t>
  </si>
  <si>
    <t>건대입구점</t>
  </si>
  <si>
    <t>계단핸드레일신규설치</t>
  </si>
  <si>
    <t>2026년 1월</t>
  </si>
  <si>
    <t>죽전본점</t>
  </si>
  <si>
    <t>변압기 보수</t>
  </si>
  <si>
    <t>광주충장로점</t>
  </si>
  <si>
    <t>전동어닝 천 교체</t>
  </si>
  <si>
    <t>창고 슬라이딩도어 보수</t>
  </si>
  <si>
    <t>신림점</t>
  </si>
  <si>
    <t>타일 보수</t>
  </si>
  <si>
    <t>강화도어 보수</t>
  </si>
  <si>
    <t>화재감지기 교체보수</t>
  </si>
  <si>
    <t>슬로프 논슬립 테이프 시공</t>
  </si>
  <si>
    <t>전북대점</t>
  </si>
  <si>
    <t>창고 등기구 교체보수</t>
  </si>
  <si>
    <t>매장 등기구 교체보수</t>
  </si>
  <si>
    <t>연신내점</t>
  </si>
  <si>
    <t>사무실 전열 신규 포설</t>
  </si>
  <si>
    <t>송내역점</t>
  </si>
  <si>
    <t>목련시장점</t>
  </si>
  <si>
    <t>등기구 보수교체, 외부 유리 마감</t>
  </si>
  <si>
    <t>안양역점</t>
  </si>
  <si>
    <t>자동문 보수</t>
  </si>
  <si>
    <t>잠실점</t>
  </si>
  <si>
    <t>데크 보수</t>
  </si>
  <si>
    <t>불광역점</t>
  </si>
  <si>
    <t>1층벽면누수발생</t>
  </si>
  <si>
    <t>상록수역점</t>
  </si>
  <si>
    <t>매장 바닥타일 보수</t>
  </si>
  <si>
    <t>작전역점</t>
  </si>
  <si>
    <t>분전함 점검</t>
  </si>
  <si>
    <t>주안역점</t>
  </si>
  <si>
    <t>배전함 플랫록 및 절연커버 보수</t>
  </si>
  <si>
    <t>성남태평점</t>
  </si>
  <si>
    <t>신림역1호점</t>
  </si>
  <si>
    <t>길동점</t>
  </si>
  <si>
    <t>외부 내부 타일 보수</t>
  </si>
  <si>
    <t>이대역점</t>
  </si>
  <si>
    <t>양산남부시장점</t>
  </si>
  <si>
    <t>온수기 신규 교체</t>
  </si>
  <si>
    <t>차선규제봉 보수교체</t>
  </si>
  <si>
    <t>분당수내점</t>
  </si>
  <si>
    <t>실내전등 스위치 보수 요청</t>
  </si>
  <si>
    <t>응암역점</t>
  </si>
  <si>
    <t>사무실 등기구 교체</t>
  </si>
  <si>
    <t>안성2호점</t>
  </si>
  <si>
    <t>연출등기구 철거</t>
  </si>
  <si>
    <t>매장 주출입구 양개도어 보수</t>
  </si>
  <si>
    <t>화곡역점</t>
  </si>
  <si>
    <t>매장 시설점검 및 보수</t>
  </si>
  <si>
    <t>후문 방화문 보수</t>
  </si>
  <si>
    <t>텍스, 스피커, 링고벨, 타일 보수</t>
  </si>
  <si>
    <t>등기구 및 텍스 교체</t>
  </si>
  <si>
    <t>양재2호점</t>
  </si>
  <si>
    <t>계단 마감 보수</t>
  </si>
  <si>
    <t>외부 계단 부분 보수</t>
  </si>
  <si>
    <t>계단 공사 _추가 자재비</t>
  </si>
  <si>
    <t>창원반송시장점</t>
  </si>
  <si>
    <t>도어 손잡이 보수</t>
  </si>
  <si>
    <t>광주일곡점</t>
  </si>
  <si>
    <t>아이스크림 냉동고 전선 매립 요청</t>
  </si>
  <si>
    <t>우장산역점</t>
  </si>
  <si>
    <t>매장 바닥 신주커버 보수</t>
  </si>
  <si>
    <t>매장 등기구 교체 및 일부 보수</t>
  </si>
  <si>
    <t>매장 사무실 등기구 교체보수</t>
  </si>
  <si>
    <t>내방역점</t>
  </si>
  <si>
    <t>매장 자동문 보수 요청</t>
  </si>
  <si>
    <t>천정 텍스 보수</t>
  </si>
  <si>
    <t>염창역점</t>
  </si>
  <si>
    <t>매장 사무실 미닫이문 보수</t>
  </si>
  <si>
    <t>대구서부점</t>
  </si>
  <si>
    <t>단대오거리점</t>
  </si>
  <si>
    <t>간판 타이머 시공</t>
  </si>
  <si>
    <t>방화셔터 보수</t>
  </si>
  <si>
    <t>강남역2호점</t>
  </si>
  <si>
    <t>시흥신천점</t>
  </si>
  <si>
    <t>자동문 작동 점검 요청의 건</t>
  </si>
  <si>
    <t>군산나운점</t>
  </si>
  <si>
    <t>매장내 환풍기 커버 교체보수</t>
  </si>
  <si>
    <t>대전노은점</t>
  </si>
  <si>
    <t>여수교동점</t>
  </si>
  <si>
    <t>주출입구 슬로프 개선 공사</t>
  </si>
  <si>
    <t>환풍기,피난유도등 점검건</t>
  </si>
  <si>
    <t>매장 주출입구 전동어닝 천 교체</t>
  </si>
  <si>
    <t>어닝암 2EA 파손 추가교체보수</t>
  </si>
  <si>
    <t>광주운암점</t>
  </si>
  <si>
    <t>매장 환풍기 보수</t>
  </si>
  <si>
    <t>독산점</t>
  </si>
  <si>
    <t>성대시장점</t>
  </si>
  <si>
    <t>연출기둥 마감 공사</t>
  </si>
  <si>
    <t>상계1호점</t>
  </si>
  <si>
    <t>화장실 순간온수기 교체</t>
  </si>
  <si>
    <t>호평점</t>
  </si>
  <si>
    <t>어닝천 보수</t>
  </si>
  <si>
    <t>부천중동점</t>
  </si>
  <si>
    <t>간판 하부 보수</t>
  </si>
  <si>
    <t>진주대안점</t>
  </si>
  <si>
    <t>전원선 마감 공사</t>
  </si>
  <si>
    <t>대구복현점</t>
  </si>
  <si>
    <t>등기구, 간판 보수</t>
  </si>
  <si>
    <t>텍스 보수</t>
  </si>
  <si>
    <t>개봉역점</t>
  </si>
  <si>
    <t>간판 보수</t>
  </si>
  <si>
    <t>영도대교점</t>
  </si>
  <si>
    <t>청주금천점</t>
  </si>
  <si>
    <t>혜화점</t>
  </si>
  <si>
    <t>환풍기 커버 교체보수</t>
  </si>
  <si>
    <t>인천당하점</t>
  </si>
  <si>
    <t>슬로프 들뜸 보수</t>
  </si>
  <si>
    <t>광주운남삼거리점</t>
  </si>
  <si>
    <t>매장 시설물 개선 공사</t>
  </si>
  <si>
    <t>어닝 천갈이교체</t>
  </si>
  <si>
    <t>매장내 미사용 CCTV모니터 철거</t>
  </si>
  <si>
    <t>구의역점</t>
  </si>
  <si>
    <t>바닥 전원선, 방화문 손잡이 보수</t>
  </si>
  <si>
    <t>가양역2호점</t>
  </si>
  <si>
    <t>OPEN&amp;CLOSE 롤스크린 교체</t>
  </si>
  <si>
    <t>매장 누전 복구</t>
  </si>
  <si>
    <t>전체 계단실 천정 다운라이트 점검 및 보수 요청</t>
  </si>
  <si>
    <t>구리역점</t>
  </si>
  <si>
    <t>계단 바닥마감(보강및철거)</t>
  </si>
  <si>
    <t>쌍문역점</t>
  </si>
  <si>
    <t>주출입구 강화도어 보수</t>
  </si>
  <si>
    <t>창고 방화문 실린더 파손 보수 및 환풍기 커버 교체</t>
  </si>
  <si>
    <t>인천송림점</t>
  </si>
  <si>
    <t>자동문 센서 점검</t>
  </si>
  <si>
    <t>강릉교동점</t>
  </si>
  <si>
    <t>부산양정점</t>
  </si>
  <si>
    <t>등기구 보수</t>
  </si>
  <si>
    <t>여수여서점</t>
  </si>
  <si>
    <t>핸드레일 보수</t>
  </si>
  <si>
    <t>방화문 도어클로저 교체보수</t>
  </si>
  <si>
    <t>천정형 선풍기 교체보수</t>
  </si>
  <si>
    <t>철산역점</t>
  </si>
  <si>
    <t>내부계단 논슬립테이프 교체</t>
  </si>
  <si>
    <t>일산웨스턴돔점</t>
  </si>
  <si>
    <t>바닥 타일 파손으로 인한 교체 요청</t>
  </si>
  <si>
    <t>수원망포점</t>
  </si>
  <si>
    <t>매장입구 슬로프 보수</t>
  </si>
  <si>
    <t>카스토퍼 교체보수</t>
  </si>
  <si>
    <t>일산위시티점</t>
  </si>
  <si>
    <t>매장 어닝 조명 탈거로 인한 수리 요청</t>
  </si>
  <si>
    <t>관양시장점</t>
  </si>
  <si>
    <t>슬로프 논슬립 테이프 보수</t>
  </si>
  <si>
    <t>홍제역(3호선)점</t>
  </si>
  <si>
    <t>사무실 슬라이딩도어 보수</t>
  </si>
  <si>
    <t>스프링클러 헤드 보수</t>
  </si>
  <si>
    <t>장안사거리점</t>
  </si>
  <si>
    <t>매장천장 석고텍스 교체보수</t>
  </si>
  <si>
    <t>인천논현점</t>
  </si>
  <si>
    <t>피난유도등 보수</t>
  </si>
  <si>
    <t>시흥대야점</t>
  </si>
  <si>
    <t>안동옥동점</t>
  </si>
  <si>
    <t>화장실 도어 실린더 교체보수</t>
  </si>
  <si>
    <t>텍스, 환풍기 커버</t>
  </si>
  <si>
    <t>파주운정1호점</t>
  </si>
  <si>
    <t>매장 시설물 보수</t>
  </si>
  <si>
    <t>1층 창고 등기구 보수</t>
  </si>
  <si>
    <t>피난유도등 및 도어클로저 교체보수</t>
  </si>
  <si>
    <t>전동어닝 스위치 재고정</t>
  </si>
  <si>
    <t>대전둔산타임월드점</t>
  </si>
  <si>
    <t>자동문 미작동</t>
  </si>
  <si>
    <t>김포장기점</t>
  </si>
  <si>
    <t>동광주점</t>
  </si>
  <si>
    <t>파주운정2호점</t>
  </si>
  <si>
    <t>매장 주출입구 강화도어 보수</t>
  </si>
  <si>
    <t>춘천거두점</t>
  </si>
  <si>
    <t>자동문 점검 및 보수</t>
  </si>
  <si>
    <t>고덕점</t>
  </si>
  <si>
    <t>상계보람점</t>
  </si>
  <si>
    <t>매장 창고 등기구 교체보수</t>
  </si>
  <si>
    <t>분당야탑점</t>
  </si>
  <si>
    <t>수원호매실점</t>
  </si>
  <si>
    <t>집기 안정기 전원선 보수</t>
  </si>
  <si>
    <t>조치원점</t>
  </si>
  <si>
    <t>피난 유도등 교체</t>
  </si>
  <si>
    <t>인천계산1호점</t>
  </si>
  <si>
    <t>인천송도1호점</t>
  </si>
  <si>
    <t>사무실 도어락 교체</t>
  </si>
  <si>
    <t>사당1호점</t>
  </si>
  <si>
    <t>대구칠곡3지구점</t>
  </si>
  <si>
    <t>은경 위 시트 마감, 등기구,텍스 보수</t>
  </si>
  <si>
    <t>바닥 신주커버 보수</t>
  </si>
  <si>
    <t>화물용리프트 도어 잠금장치 보수</t>
  </si>
  <si>
    <t>부산서면점</t>
  </si>
  <si>
    <t>랜선 포설 공사</t>
  </si>
  <si>
    <t>등기구, 피난유도등 보수</t>
  </si>
  <si>
    <t>청주분평점</t>
  </si>
  <si>
    <t>피난 유도등 보수</t>
  </si>
  <si>
    <t>광명소하점</t>
  </si>
  <si>
    <t>화장실 문고리 보수</t>
  </si>
  <si>
    <t>서울대입구점</t>
  </si>
  <si>
    <t>방화문 보수</t>
  </si>
  <si>
    <t>김천시청점</t>
  </si>
  <si>
    <t>계산대 금고 고정</t>
  </si>
  <si>
    <t>등기구, 환풍기, 텍스 보수</t>
  </si>
  <si>
    <t>망우2호점</t>
  </si>
  <si>
    <t>도어 손보호대 보수</t>
  </si>
  <si>
    <t>송추계곡입구점</t>
  </si>
  <si>
    <t>매장 주출입구 피난유도등 보수</t>
  </si>
  <si>
    <t>구미옥계점</t>
  </si>
  <si>
    <t>주차장 경계석 및 차선규제봉 보수</t>
  </si>
  <si>
    <t>광주신창점</t>
  </si>
  <si>
    <t>미사용 모니터 철거</t>
  </si>
  <si>
    <t>대방남부점</t>
  </si>
  <si>
    <t>외부 벽면 도장</t>
  </si>
  <si>
    <t>시흥월곶점</t>
  </si>
  <si>
    <t>2층 창고 바닥 누수</t>
  </si>
  <si>
    <t>전주인후점</t>
  </si>
  <si>
    <t>미사용 바닥전열 단선</t>
  </si>
  <si>
    <t>대전태평점</t>
  </si>
  <si>
    <t>1층 글라스월 바 교체보수</t>
  </si>
  <si>
    <t>방풍실 감지기 신규 설치</t>
  </si>
  <si>
    <t>충남보령점</t>
  </si>
  <si>
    <t>매장 내부 은경 보수</t>
  </si>
  <si>
    <t>외부 사인물 제거</t>
  </si>
  <si>
    <t>링고벨 보수</t>
  </si>
  <si>
    <t>동해천곡점</t>
  </si>
  <si>
    <t>제주동문시장점</t>
  </si>
  <si>
    <t>매장 주출입구 알루미늄 논슬립 보수</t>
  </si>
  <si>
    <t>인천가좌시장점</t>
  </si>
  <si>
    <t>매장입구 데크 수리 요청 건</t>
  </si>
  <si>
    <t>화재감지기 설치 요청 건</t>
  </si>
  <si>
    <t>전주평화점</t>
  </si>
  <si>
    <t>매장 주출입구 자동문 하부이탈방지 보수</t>
  </si>
  <si>
    <t>인천검암점</t>
  </si>
  <si>
    <t>리프트 점검</t>
  </si>
  <si>
    <t>충주점</t>
  </si>
  <si>
    <t>매장내 등기구 교체</t>
  </si>
  <si>
    <t>상봉역점</t>
  </si>
  <si>
    <t>천정 내부 고양이 포획 및 외부 파이프 막음</t>
  </si>
  <si>
    <t>광주상무점</t>
  </si>
  <si>
    <t>환풍기 보수건</t>
  </si>
  <si>
    <t>방이시장점</t>
  </si>
  <si>
    <t>내, 외부 시설 보수</t>
  </si>
  <si>
    <t>영천시청점</t>
  </si>
  <si>
    <t>동광양점</t>
  </si>
  <si>
    <t>매장 주출입구 논슬립 테이프 교체</t>
  </si>
  <si>
    <t>답십리점</t>
  </si>
  <si>
    <t>고양화정점</t>
  </si>
  <si>
    <t>광명사거리점</t>
  </si>
  <si>
    <t>사무실 방화도어 보수</t>
  </si>
  <si>
    <t>광주첨단점</t>
  </si>
  <si>
    <t>화장실 세면대 보수</t>
  </si>
  <si>
    <t>상도점</t>
  </si>
  <si>
    <t>환풍기 교체보수</t>
  </si>
  <si>
    <t>아스콘 바닥 포장공사</t>
  </si>
  <si>
    <t>명동본점</t>
  </si>
  <si>
    <t>매장 주출입구 계단 및 전신 걸레받이 보수</t>
  </si>
  <si>
    <t>부산하단2호점</t>
  </si>
  <si>
    <t>매장입구 바닥 단차 보수</t>
  </si>
  <si>
    <t>수원영통점</t>
  </si>
  <si>
    <t>환풍기 교체 공사</t>
  </si>
  <si>
    <t>일산제니스점</t>
  </si>
  <si>
    <t>사무실 실린더 교체보수</t>
  </si>
  <si>
    <t>동대문점</t>
  </si>
  <si>
    <t>매장 시설물 보수(2025006791 어닝천보수건 분할)</t>
  </si>
  <si>
    <t>부천본점</t>
  </si>
  <si>
    <t>화장실 배관 보수</t>
  </si>
  <si>
    <t>과천점</t>
  </si>
  <si>
    <t>계단 논슬립 보수</t>
  </si>
  <si>
    <t>사당2호점</t>
  </si>
  <si>
    <t>등기구 누전 보수</t>
  </si>
  <si>
    <t>외부 유리 보수</t>
  </si>
  <si>
    <t>환풍기 보수</t>
  </si>
  <si>
    <t>강화도어</t>
  </si>
  <si>
    <t>마리오아울렛점</t>
  </si>
  <si>
    <t>등기구 보수교체</t>
  </si>
  <si>
    <t>부산대점</t>
  </si>
  <si>
    <t>일산후곡점</t>
  </si>
  <si>
    <t>오산점</t>
  </si>
  <si>
    <t>안국역2호점</t>
  </si>
  <si>
    <t>신림3호점</t>
  </si>
  <si>
    <t>등기구 점검 및 보수</t>
  </si>
  <si>
    <t>도난방지 안테나  보수</t>
  </si>
  <si>
    <t>평택역점</t>
  </si>
  <si>
    <t>여수여천점</t>
  </si>
  <si>
    <t>분당서현점</t>
  </si>
  <si>
    <t>안성공도점</t>
  </si>
  <si>
    <t>화장실 세면대 트랩 보수</t>
  </si>
  <si>
    <t>출입구 강화도어 보수</t>
  </si>
  <si>
    <t>하남시청점</t>
  </si>
  <si>
    <t>방학역점</t>
  </si>
  <si>
    <t>매장 주출입구 자동문 손끼임방지 보수</t>
  </si>
  <si>
    <t>발산역점</t>
  </si>
  <si>
    <t>화장실 라디에이터 보수</t>
  </si>
  <si>
    <t>화물용 리프트 보수</t>
  </si>
  <si>
    <t>리프트 앞 AL체크판 계단 논슬립테이프 부착보수</t>
  </si>
  <si>
    <t>일산풍동점</t>
  </si>
  <si>
    <t>사가정2호점</t>
  </si>
  <si>
    <t>누수점검 요청</t>
  </si>
  <si>
    <t>자동문 손보호대, 하부키 보수</t>
  </si>
  <si>
    <t>경복궁역점</t>
  </si>
  <si>
    <t>완강기 케이스 교체</t>
  </si>
  <si>
    <t>평내2호점</t>
  </si>
  <si>
    <t>부평2호점</t>
  </si>
  <si>
    <t>군산점</t>
  </si>
  <si>
    <t>어닝 천교체 및 레드게이트 도장</t>
  </si>
  <si>
    <t>역곡본점</t>
  </si>
  <si>
    <t>양개도어 시건장치 보수</t>
  </si>
  <si>
    <t>제주일도점</t>
  </si>
  <si>
    <t>주출입구 바닥 타일 보수</t>
  </si>
  <si>
    <t>수원정자점</t>
  </si>
  <si>
    <t>창원상남2호점</t>
  </si>
  <si>
    <t>등기구, 텍스 보수교체</t>
  </si>
  <si>
    <t>외부 콘센트 커버 교체</t>
  </si>
  <si>
    <t>광주말바우시장점</t>
  </si>
  <si>
    <t>계단대 바닥전열 매립 공사</t>
  </si>
  <si>
    <t>진주평거점</t>
  </si>
  <si>
    <t>자동문 점검</t>
  </si>
  <si>
    <t>동묘점</t>
  </si>
  <si>
    <t>소방 감지기 보수</t>
  </si>
  <si>
    <t>인천계산삼거리점</t>
  </si>
  <si>
    <t>매장 천장텍스 교체보수</t>
  </si>
  <si>
    <t>지하 집수정 보수</t>
  </si>
  <si>
    <t>대전중촌네거리점</t>
  </si>
  <si>
    <t>주엽점</t>
  </si>
  <si>
    <t>대전본점</t>
  </si>
  <si>
    <t>자동문 교체보수</t>
  </si>
  <si>
    <t>남자화장실 소변기 보수</t>
  </si>
  <si>
    <t>화장실 전기온수기 보수</t>
  </si>
  <si>
    <t>미아사거리점</t>
  </si>
  <si>
    <t>시선유도봉 교체보수</t>
  </si>
  <si>
    <t>매장 포스기 보수</t>
  </si>
  <si>
    <t>전기 점검 요청 건</t>
  </si>
  <si>
    <t>부산반여본점</t>
  </si>
  <si>
    <t>동두천지행점</t>
  </si>
  <si>
    <t xml:space="preserve">분전함 점검 및 보수 </t>
  </si>
  <si>
    <t>대구신월성점</t>
  </si>
  <si>
    <t>계단실 등기구 누전 복구</t>
  </si>
  <si>
    <t>별내본점</t>
  </si>
  <si>
    <t>인천논현본점</t>
  </si>
  <si>
    <t>강남고속버스터미널점</t>
  </si>
  <si>
    <t>간판 조명 점검</t>
  </si>
  <si>
    <t>텍스 및 실린더 보수</t>
  </si>
  <si>
    <t>턴게이트 보수</t>
  </si>
  <si>
    <t>가좌역점</t>
  </si>
  <si>
    <t>포스기 누전으로 긴급점검 요청</t>
  </si>
  <si>
    <t>부산국제시장점</t>
  </si>
  <si>
    <t>텍스, 등기구, 피난유도등, 도어 보수</t>
  </si>
  <si>
    <t>구리토평점</t>
  </si>
  <si>
    <t>대구테크노폴리스점</t>
  </si>
  <si>
    <t>화장실 양변기 교체</t>
  </si>
  <si>
    <t>천안성정2호점</t>
  </si>
  <si>
    <t>화장실 큐비클 교체보수</t>
  </si>
  <si>
    <t>매장 주출입구 자동문 보수</t>
  </si>
  <si>
    <t>신촌명물거리점</t>
  </si>
  <si>
    <t>매장 외부타일 점검 및 보수</t>
  </si>
  <si>
    <t>부산서면2호점</t>
  </si>
  <si>
    <t>양산증산점</t>
  </si>
  <si>
    <t>서청주점</t>
  </si>
  <si>
    <t>외부 유리교체보수</t>
  </si>
  <si>
    <t>인천서창점</t>
  </si>
  <si>
    <t>자동문 점검 요청</t>
  </si>
  <si>
    <t>공주신관점</t>
  </si>
  <si>
    <t>2층 직원화장실 수도관 보수</t>
  </si>
  <si>
    <t>화성병점점</t>
  </si>
  <si>
    <t>냉난방기 전원 점검</t>
  </si>
  <si>
    <t>당진본점</t>
  </si>
  <si>
    <t>매장기둥 재료분리대 보수</t>
  </si>
  <si>
    <t>원주혁신점</t>
  </si>
  <si>
    <t>구미구평점</t>
  </si>
  <si>
    <t>어닝 천갈이 교체</t>
  </si>
  <si>
    <t>화장실 도어 보수</t>
  </si>
  <si>
    <t>피난유도등, 등기구, 환풍기 보수</t>
  </si>
  <si>
    <t>마산합성점</t>
  </si>
  <si>
    <t>출입구 천정 엣지등 교체</t>
  </si>
  <si>
    <t>인천신기사거리점</t>
  </si>
  <si>
    <t>제주노형점</t>
  </si>
  <si>
    <t>유인포스 점검</t>
  </si>
  <si>
    <t>전원선 매립 공사</t>
  </si>
  <si>
    <t>송파파크하비오점</t>
  </si>
  <si>
    <t>등기구 누전 점검 및 복구</t>
  </si>
  <si>
    <t>영주본점</t>
  </si>
  <si>
    <t>부산정관신도시점</t>
  </si>
  <si>
    <t>밀양점</t>
  </si>
  <si>
    <t>양변기 교체</t>
  </si>
  <si>
    <t>수원화서점</t>
  </si>
  <si>
    <t>전원선 마감</t>
  </si>
  <si>
    <t>광주봉선2호점</t>
  </si>
  <si>
    <t>매장 환풍기 커버 보수</t>
  </si>
  <si>
    <t>화성향남점</t>
  </si>
  <si>
    <t>어닝천 부분 보수</t>
  </si>
  <si>
    <t>분전함내 차단기 점검 및 보수</t>
  </si>
  <si>
    <t>화장실 등기구 보수</t>
  </si>
  <si>
    <t>김해진영본점</t>
  </si>
  <si>
    <t>온수기 교체 보수</t>
  </si>
  <si>
    <t>경기광주본점</t>
  </si>
  <si>
    <t>볼라드 보수</t>
  </si>
  <si>
    <t>매립형 볼라드 4개소 위치 이설 및 점자블럭 6개소 이설</t>
  </si>
  <si>
    <t>천정 누수 점검</t>
  </si>
  <si>
    <t>시흥정왕본점</t>
  </si>
  <si>
    <t>파지보관함 하부레일 설치</t>
  </si>
  <si>
    <t>화단정리</t>
  </si>
  <si>
    <t>시흥능곡점</t>
  </si>
  <si>
    <t>ABS도어 문틀 보수</t>
  </si>
  <si>
    <t>지하 펌프실 배수펌프 오작동</t>
  </si>
  <si>
    <t>간판 타이머 신규 설치</t>
  </si>
  <si>
    <t>마이크 신규 설치</t>
  </si>
  <si>
    <t>부천범박동점</t>
  </si>
  <si>
    <t>강남본점</t>
  </si>
  <si>
    <t>3층 득템평대 전열 제거 요청 건</t>
  </si>
  <si>
    <t>목포옥암점</t>
  </si>
  <si>
    <t>매장 방화문 보수</t>
  </si>
  <si>
    <t>부산종합운동장점</t>
  </si>
  <si>
    <t>미끄럼 사고 예방 작업</t>
  </si>
  <si>
    <t>스타필드고양점</t>
  </si>
  <si>
    <t>창고 바닥타일 보수</t>
  </si>
  <si>
    <t>청주신봉네거리점</t>
  </si>
  <si>
    <t>매장 정기점검 보완 조치</t>
  </si>
  <si>
    <t>김해부원점</t>
  </si>
  <si>
    <t>간판 타이머 설치</t>
  </si>
  <si>
    <t>제천본점</t>
  </si>
  <si>
    <t>포항양덕본점</t>
  </si>
  <si>
    <t>화장실 수전 누수</t>
  </si>
  <si>
    <t>전주터미널점</t>
  </si>
  <si>
    <t>1차계량기 동파 보수</t>
  </si>
  <si>
    <t>주출입구 블라인드 보수</t>
  </si>
  <si>
    <t>부산해운대장산본점</t>
  </si>
  <si>
    <t>등기구 누전 복구</t>
  </si>
  <si>
    <t>경산옥산점</t>
  </si>
  <si>
    <t>블라인드 교체</t>
  </si>
  <si>
    <t>주차장 램프 보수</t>
  </si>
  <si>
    <t>부산연산교차로점</t>
  </si>
  <si>
    <t>대전반석점</t>
  </si>
  <si>
    <t>매장 화장실 온수기 보수</t>
  </si>
  <si>
    <t>거제옥포2호점</t>
  </si>
  <si>
    <t>피난유도등 교체보수</t>
  </si>
  <si>
    <t>등기구, 환풍기 보수, 피난유도등 보수</t>
  </si>
  <si>
    <t>대구두산오거리점</t>
  </si>
  <si>
    <t>수원고색점</t>
  </si>
  <si>
    <t>신주커버 고정</t>
  </si>
  <si>
    <t>등기구, 텍스 보수</t>
  </si>
  <si>
    <t>용인민속촌점</t>
  </si>
  <si>
    <t>옥상 기계실 누수 보수</t>
  </si>
  <si>
    <t>채널간판 탈락 보수</t>
  </si>
  <si>
    <t>춘천온의점</t>
  </si>
  <si>
    <t>카운터 전원 누전 복구</t>
  </si>
  <si>
    <t>상주서문사거리점</t>
  </si>
  <si>
    <t>마산양덕점</t>
  </si>
  <si>
    <t>게이트 보수</t>
  </si>
  <si>
    <t>블라인드 보수</t>
  </si>
  <si>
    <t>죽전사거리점</t>
  </si>
  <si>
    <t>등기구 및 텍스 보수</t>
  </si>
  <si>
    <t>춘천퇴계본점</t>
  </si>
  <si>
    <t>주차장 SMC 탈락 보수</t>
  </si>
  <si>
    <t>고양원당점</t>
  </si>
  <si>
    <t>매장 계단 타일 보수</t>
  </si>
  <si>
    <t>화장실 세면기 보수</t>
  </si>
  <si>
    <t>김해율하2호점</t>
  </si>
  <si>
    <t>광주수완2호점</t>
  </si>
  <si>
    <t>매장 등기구 교체</t>
  </si>
  <si>
    <t>화장실 소변기 보수</t>
  </si>
  <si>
    <t>김포구래점</t>
  </si>
  <si>
    <t>매장 방화셔터 및 시간경보기 보수</t>
  </si>
  <si>
    <t>매장 등기구 보수</t>
  </si>
  <si>
    <t>용인구성점</t>
  </si>
  <si>
    <t>대구효신네거리2호점</t>
  </si>
  <si>
    <t>주차 안내 사인물 재고정</t>
  </si>
  <si>
    <t>도어 보수</t>
  </si>
  <si>
    <t>둔촌동역점</t>
  </si>
  <si>
    <t>수원인계본점</t>
  </si>
  <si>
    <t>계단 핸드레일 점검</t>
  </si>
  <si>
    <t>리프트 방화문 점검</t>
  </si>
  <si>
    <t>집수정 배수펌프 교체</t>
  </si>
  <si>
    <t>배곧신도시점</t>
  </si>
  <si>
    <t>신주커버 교체보수</t>
  </si>
  <si>
    <t>천안청수지구점</t>
  </si>
  <si>
    <t>김해진영2호점</t>
  </si>
  <si>
    <t>세마대사거리점</t>
  </si>
  <si>
    <t>소방안전관리자 지적사항 보완 조치</t>
  </si>
  <si>
    <t>부산명지오션시티점</t>
  </si>
  <si>
    <t>부산주례역점</t>
  </si>
  <si>
    <t>천안불당점</t>
  </si>
  <si>
    <t>매장 주출입구 및 내부계단 핸드레일 보수</t>
  </si>
  <si>
    <t>내포신도시점</t>
  </si>
  <si>
    <t>내부 핸드레일 하부 브라켓 보수</t>
  </si>
  <si>
    <t>김해외동점</t>
  </si>
  <si>
    <t>춘천소양로점</t>
  </si>
  <si>
    <t>도어, 차선규제봉 보수</t>
  </si>
  <si>
    <t>남양주화도점</t>
  </si>
  <si>
    <t>바닥전원 단선, 피난유도등 보수</t>
  </si>
  <si>
    <t>대구명덕네거리점</t>
  </si>
  <si>
    <t>등기구, 신주커버, 타일 보수</t>
  </si>
  <si>
    <t>포항시외버스터미널점</t>
  </si>
  <si>
    <t>소변기, 도어클로저 보수</t>
  </si>
  <si>
    <t>안산월피점</t>
  </si>
  <si>
    <t>원마운트몰점</t>
  </si>
  <si>
    <t>경북도청신도시점</t>
  </si>
  <si>
    <t>대전시청점</t>
  </si>
  <si>
    <t>주차장 트렌치 고정</t>
  </si>
  <si>
    <t>세종시청점</t>
  </si>
  <si>
    <t>소방 안전관리자 지적사항 보완 조치</t>
  </si>
  <si>
    <t>포항동빈점</t>
  </si>
  <si>
    <t>김해대청점</t>
  </si>
  <si>
    <t>사인물 고정</t>
  </si>
  <si>
    <t>교대역점</t>
  </si>
  <si>
    <t>체크철판 방수테이프 마감</t>
  </si>
  <si>
    <t>양산서창2호점</t>
  </si>
  <si>
    <t>현수막 철거</t>
  </si>
  <si>
    <t>환풍기, 도어 보수</t>
  </si>
  <si>
    <t>부산연산본점</t>
  </si>
  <si>
    <t>외부 타일 보수</t>
  </si>
  <si>
    <t>인천불로동점</t>
  </si>
  <si>
    <t>외부 장애인슬로프 핸드레일 보수</t>
  </si>
  <si>
    <t>구미확장지구점</t>
  </si>
  <si>
    <t>이태원점</t>
  </si>
  <si>
    <t>핸드레일 신규설치</t>
  </si>
  <si>
    <t>충주법원사거리점</t>
  </si>
  <si>
    <t>매봉역점</t>
  </si>
  <si>
    <t>누수 점검</t>
  </si>
  <si>
    <t>대구죽전네거리점</t>
  </si>
  <si>
    <t>상왕십리역점</t>
  </si>
  <si>
    <t>한성대입구역2호점</t>
  </si>
  <si>
    <t>성균관대역점</t>
  </si>
  <si>
    <t>마이크선 신규 포설</t>
  </si>
  <si>
    <t>전주신시가지점</t>
  </si>
  <si>
    <t>주출입구 강화도어 힌지 보수</t>
  </si>
  <si>
    <t>대전갈마2호점</t>
  </si>
  <si>
    <t>화장실 순간온수기 보수</t>
  </si>
  <si>
    <t>주출입구 전동어닝 천 교체</t>
  </si>
  <si>
    <t>텍스. 등기구, 바닥전열 보수</t>
  </si>
  <si>
    <t>강북구청사거리점</t>
  </si>
  <si>
    <t>광주하남지구점</t>
  </si>
  <si>
    <t>피난유도등 화장실 환풍기 점건건</t>
  </si>
  <si>
    <t>방화문 실린더 보수</t>
  </si>
  <si>
    <t>반사갓 교체보수 추가건</t>
  </si>
  <si>
    <t>진해장천점</t>
  </si>
  <si>
    <t>어닝 천 보수</t>
  </si>
  <si>
    <t>화성향남2지구점</t>
  </si>
  <si>
    <t>창고 등전열 보수</t>
  </si>
  <si>
    <t>주출입구 및 후문 양개도어 보수</t>
  </si>
  <si>
    <t>매장 주출입구 전동어닝 천 교체보수</t>
  </si>
  <si>
    <t>부천중동본점</t>
  </si>
  <si>
    <t>양개도어 하부잠금장치 보수</t>
  </si>
  <si>
    <t>대구대현점</t>
  </si>
  <si>
    <t>은경 위 시트 마감</t>
  </si>
  <si>
    <t>대구반야월점</t>
  </si>
  <si>
    <t>리프트 도어 보수</t>
  </si>
  <si>
    <t>구미봉곡본점</t>
  </si>
  <si>
    <t>화장실 수전 보수</t>
  </si>
  <si>
    <t>이천본점</t>
  </si>
  <si>
    <t>누수 점검 및 보수</t>
  </si>
  <si>
    <t>도어락 보수</t>
  </si>
  <si>
    <t>홍대2호점</t>
  </si>
  <si>
    <t>등기구 교체</t>
  </si>
  <si>
    <t>사무실 도어 실린더 교체보수</t>
  </si>
  <si>
    <t>김포감정본점</t>
  </si>
  <si>
    <t>주출입구 강화도어 손스침 보수</t>
  </si>
  <si>
    <t>일산덕이점</t>
  </si>
  <si>
    <t>대전도마2호점</t>
  </si>
  <si>
    <t>인천검단사거리역점</t>
  </si>
  <si>
    <t>서산대산점</t>
  </si>
  <si>
    <t>김천부곡점</t>
  </si>
  <si>
    <t>등기구, 환풍기 보수</t>
  </si>
  <si>
    <t>화장실 양변기 보수</t>
  </si>
  <si>
    <t>인천심곡동점</t>
  </si>
  <si>
    <t>울산신천점</t>
  </si>
  <si>
    <t>도어락 신규 설치</t>
  </si>
  <si>
    <t>피난유도등, 등기구, 텍스 보수</t>
  </si>
  <si>
    <t>영종하늘도시점</t>
  </si>
  <si>
    <t>주출입구 강화도어 실린더 보수</t>
  </si>
  <si>
    <t>출입문 보수 요청</t>
  </si>
  <si>
    <t>롤테이너 하부 가드레일 보수설치</t>
  </si>
  <si>
    <t>양산터미널점</t>
  </si>
  <si>
    <t>논산내동점</t>
  </si>
  <si>
    <t>자동문 및 ABS도어 보수</t>
  </si>
  <si>
    <t>김해삼계2호점</t>
  </si>
  <si>
    <t>자동문 및 강화도어 보수</t>
  </si>
  <si>
    <t>소변기 누수 점검</t>
  </si>
  <si>
    <t>통영무전점</t>
  </si>
  <si>
    <t>낙성대점</t>
  </si>
  <si>
    <t>서울시청광장점</t>
  </si>
  <si>
    <t>진주혁신도시점</t>
  </si>
  <si>
    <t>광주전남대점</t>
  </si>
  <si>
    <t>유도등 교체보수 (정기점검 추가 보수)</t>
  </si>
  <si>
    <t>울산서동점</t>
  </si>
  <si>
    <t>분전함 스위치 보수</t>
  </si>
  <si>
    <t>바닥 전원선 단선 마감</t>
  </si>
  <si>
    <t>포항죽파로점</t>
  </si>
  <si>
    <t>슬라이딩 도어 보수</t>
  </si>
  <si>
    <t>서산동부시장점</t>
  </si>
  <si>
    <t>하남미사점</t>
  </si>
  <si>
    <t>용인동백점</t>
  </si>
  <si>
    <t>대학로점</t>
  </si>
  <si>
    <t>매장 주출입구 핸드레일 보수</t>
  </si>
  <si>
    <t>내부계단 핸드레일 보수</t>
  </si>
  <si>
    <t>인천주안역점</t>
  </si>
  <si>
    <t>이천사음점</t>
  </si>
  <si>
    <t>방풍실 및 핸드레일 설치</t>
  </si>
  <si>
    <t>청주오송점</t>
  </si>
  <si>
    <t>소방 안전관리자 지적사항 보완조치</t>
  </si>
  <si>
    <t>전주에코시티점</t>
  </si>
  <si>
    <t>매장 주출입구 전동어닝 천 부분교체</t>
  </si>
  <si>
    <t>볼라드 철거</t>
  </si>
  <si>
    <t>U형 볼라드 보수교체</t>
  </si>
  <si>
    <t>문경모전점</t>
  </si>
  <si>
    <t>구미인의점</t>
  </si>
  <si>
    <t>강화도어 손잡이 보수교체</t>
  </si>
  <si>
    <t>성남신흥역점</t>
  </si>
  <si>
    <t>마이크 작동 점검</t>
  </si>
  <si>
    <t>부천심곡본동점</t>
  </si>
  <si>
    <t>출입문 보수</t>
  </si>
  <si>
    <t>텍스 및 슬라이딩도어 보수</t>
  </si>
  <si>
    <t>합정동점</t>
  </si>
  <si>
    <t>건물 후면 셔터 보수</t>
  </si>
  <si>
    <t>시건장치 보수</t>
  </si>
  <si>
    <t>광명하안점</t>
  </si>
  <si>
    <t>용인역북점</t>
  </si>
  <si>
    <t>피난유도등 보수교체</t>
  </si>
  <si>
    <t>전주서신2호점</t>
  </si>
  <si>
    <t>외부문 수리(힌지교체)</t>
  </si>
  <si>
    <t>부산초읍점</t>
  </si>
  <si>
    <t>주출입구 도어 보수</t>
  </si>
  <si>
    <t>청주강서점</t>
  </si>
  <si>
    <t>주차장 등기구 보수</t>
  </si>
  <si>
    <t>출입문 바닥 꺼짐 보수</t>
  </si>
  <si>
    <t>여수웅천점</t>
  </si>
  <si>
    <t>셀프계산대 cctv 모니터 전열 보수건</t>
  </si>
  <si>
    <t>천장 석고텍스 교체보수</t>
  </si>
  <si>
    <t>피난유도등 창고환풍기 점검건</t>
  </si>
  <si>
    <t>오산원동점</t>
  </si>
  <si>
    <t>주차장 바닥 보수</t>
  </si>
  <si>
    <t>부산개금점</t>
  </si>
  <si>
    <t>주차장 시설물 보수</t>
  </si>
  <si>
    <t>온수기 보수</t>
  </si>
  <si>
    <t>신사역점</t>
  </si>
  <si>
    <t>진주교대점</t>
  </si>
  <si>
    <t>포항대잠점</t>
  </si>
  <si>
    <t>출입문 보 수</t>
  </si>
  <si>
    <t>차선규제봉 보수</t>
  </si>
  <si>
    <t>대구칠성점</t>
  </si>
  <si>
    <t>울산화봉점</t>
  </si>
  <si>
    <t>핸드레일, 양변기 보수</t>
  </si>
  <si>
    <t>바닥전원선 단선 마감</t>
  </si>
  <si>
    <t>1층 타일 50장 들뜸, 깨짐에 의한 교체보수</t>
  </si>
  <si>
    <t>화성반월점</t>
  </si>
  <si>
    <t>화양동점</t>
  </si>
  <si>
    <t>광주금호점</t>
  </si>
  <si>
    <t>피난유도등 신규 설치보수</t>
  </si>
  <si>
    <t>내부계단 등기구 교체보수</t>
  </si>
  <si>
    <t>매장 주출입구 시건장치 보수</t>
  </si>
  <si>
    <t>안산선부점</t>
  </si>
  <si>
    <t>내부계단 논슬립 테이프 교체보수</t>
  </si>
  <si>
    <t>의정부민락2호점</t>
  </si>
  <si>
    <t>누수 보수</t>
  </si>
  <si>
    <t>서귀포중문점</t>
  </si>
  <si>
    <t>휀스 교체보수</t>
  </si>
  <si>
    <t>부산연산토곡2호점</t>
  </si>
  <si>
    <t>양변기 보수</t>
  </si>
  <si>
    <t>구미신평점</t>
  </si>
  <si>
    <t>주차장 바닥마감 보수</t>
  </si>
  <si>
    <t>외부 투광등 누전 복구</t>
  </si>
  <si>
    <t>일산마두점</t>
  </si>
  <si>
    <t>3층 링고벨 보수 요청</t>
  </si>
  <si>
    <t>링고벨 보수 요청</t>
  </si>
  <si>
    <t>김해본점</t>
  </si>
  <si>
    <t>다산신도시점</t>
  </si>
  <si>
    <t>기둥 은경 위 시트 시공</t>
  </si>
  <si>
    <t>이수점</t>
  </si>
  <si>
    <t>포스 전기 보수 요청</t>
  </si>
  <si>
    <t>부천원종동점</t>
  </si>
  <si>
    <t>칠곡중리2호점</t>
  </si>
  <si>
    <t>경기광주초월점</t>
  </si>
  <si>
    <t>강화도어 힌지 커버 보수</t>
  </si>
  <si>
    <t>파주문산점</t>
  </si>
  <si>
    <t>주출입구 핸드레일 보수</t>
  </si>
  <si>
    <t>화성봉담2호점</t>
  </si>
  <si>
    <t>바닥 데코타일 보수</t>
  </si>
  <si>
    <t>대구시지2호점</t>
  </si>
  <si>
    <t>천정 텍스, 환풍기 보수</t>
  </si>
  <si>
    <t>대구들안길네거리점</t>
  </si>
  <si>
    <t>세면대 배관 보수</t>
  </si>
  <si>
    <t>대지시장점</t>
  </si>
  <si>
    <t>목포연산점</t>
  </si>
  <si>
    <t>매장 창고 바닥타일 보수</t>
  </si>
  <si>
    <t>스타필드부천점</t>
  </si>
  <si>
    <t>봉천본점</t>
  </si>
  <si>
    <t>도난방지기 철거 작업</t>
  </si>
  <si>
    <t>부산거제시장점</t>
  </si>
  <si>
    <t>홍대입구점</t>
  </si>
  <si>
    <t>계단 알류미늄 논슬립 보수</t>
  </si>
  <si>
    <t>매장 바닥 보수</t>
  </si>
  <si>
    <t>마석역점</t>
  </si>
  <si>
    <t>마산회원점</t>
  </si>
  <si>
    <t>인천대입구역점</t>
  </si>
  <si>
    <t>파손 타일 교체</t>
  </si>
  <si>
    <t>세이프도어 보수</t>
  </si>
  <si>
    <t>순천왕지점</t>
  </si>
  <si>
    <t>매장 천장 누수 (드레인배관석션)</t>
  </si>
  <si>
    <t>영등포역점</t>
  </si>
  <si>
    <t>천정 환풍구 덮개 고정</t>
  </si>
  <si>
    <t>기둥 연출면 부분도장 보수</t>
  </si>
  <si>
    <t>매장 바닥누수 점검</t>
  </si>
  <si>
    <t>광주송정점</t>
  </si>
  <si>
    <t>화장실 환풍기 점검건</t>
  </si>
  <si>
    <t>간판 타이머 점검건</t>
  </si>
  <si>
    <t>매장 유도방수 철거 및 주변 복구</t>
  </si>
  <si>
    <t>전동어닝 신규 설치 전원선 포설</t>
  </si>
  <si>
    <t>전동어닝 신규 설치</t>
  </si>
  <si>
    <t>수유본점</t>
  </si>
  <si>
    <t>자동문 보수교체</t>
  </si>
  <si>
    <t>청주방서점</t>
  </si>
  <si>
    <t>출입문 손잡이 보수교체</t>
  </si>
  <si>
    <t>화성송산점</t>
  </si>
  <si>
    <t>자동문 오작동</t>
  </si>
  <si>
    <t>조치원본점</t>
  </si>
  <si>
    <t>원주기업도시점</t>
  </si>
  <si>
    <t>중계역점</t>
  </si>
  <si>
    <t>매장 주출입구 세이프양개도어 실린더 교체</t>
  </si>
  <si>
    <t>평택장당점</t>
  </si>
  <si>
    <t>화장실 대변기 보수</t>
  </si>
  <si>
    <t>스타필드위례점</t>
  </si>
  <si>
    <t>김포통진점</t>
  </si>
  <si>
    <t>천장텍스 교체보수</t>
  </si>
  <si>
    <t>내부계단 피난유도등 보수</t>
  </si>
  <si>
    <t>목도어 실린더 교체보수</t>
  </si>
  <si>
    <t>부산금정점</t>
  </si>
  <si>
    <t>간판 누전 복구</t>
  </si>
  <si>
    <t>부산반송점</t>
  </si>
  <si>
    <t>카스토퍼 교체</t>
  </si>
  <si>
    <t>화성안녕동점</t>
  </si>
  <si>
    <t>내부계단 링고벨 보수</t>
  </si>
  <si>
    <t>매장 누수점검 및 보수</t>
  </si>
  <si>
    <t>용인송담대역점</t>
  </si>
  <si>
    <t>수원구운점</t>
  </si>
  <si>
    <t>바닥 타일 보수</t>
  </si>
  <si>
    <t>광주월산점</t>
  </si>
  <si>
    <t>포천2호점</t>
  </si>
  <si>
    <t>화장실 스위치 교체보수</t>
  </si>
  <si>
    <t>여수죽림점</t>
  </si>
  <si>
    <t>누수점검 및 석고텍스 교체보수</t>
  </si>
  <si>
    <t>주차장 바닥 평탄화</t>
  </si>
  <si>
    <t>계산대 바닥전열 보수</t>
  </si>
  <si>
    <t>입구 게이트 도장건</t>
  </si>
  <si>
    <t>매장 블라인드 보수</t>
  </si>
  <si>
    <t>주출입구 양개도어 시건장치 보수</t>
  </si>
  <si>
    <t>매장 퇴근등 스위치 교체보수</t>
  </si>
  <si>
    <t>수정구청점</t>
  </si>
  <si>
    <t>용인시청점</t>
  </si>
  <si>
    <t>연희동점</t>
  </si>
  <si>
    <t>핸드레일 보수요청</t>
  </si>
  <si>
    <t>부산안락교차로점</t>
  </si>
  <si>
    <t>소변기 보수</t>
  </si>
  <si>
    <t>삼척점</t>
  </si>
  <si>
    <t>대구화원점</t>
  </si>
  <si>
    <t>출입문 잠금장치 보수</t>
  </si>
  <si>
    <t>계룡대실지구점</t>
  </si>
  <si>
    <t>인천구월본점</t>
  </si>
  <si>
    <t>출입문 하단 받침대 보수 요청</t>
  </si>
  <si>
    <t>목포상동점</t>
  </si>
  <si>
    <t>내부계단 핸드레일 보수 및 등기구 교체</t>
  </si>
  <si>
    <t>범계역점</t>
  </si>
  <si>
    <t>건물 매장 화재 복구</t>
  </si>
  <si>
    <t>간석역북부점</t>
  </si>
  <si>
    <t>전주효자2호점</t>
  </si>
  <si>
    <t>매장 리프트 보수</t>
  </si>
  <si>
    <t>남위례역점</t>
  </si>
  <si>
    <t>차단기 및 전기 점검</t>
  </si>
  <si>
    <t>안성공도마정점</t>
  </si>
  <si>
    <t>외부 현수막 철거 및 주변 실리콘 보수</t>
  </si>
  <si>
    <t>계산대 창가 블라인드 보수</t>
  </si>
  <si>
    <t>매장 누수점검 및 등기구 전열 보수</t>
  </si>
  <si>
    <t>아산둔포점</t>
  </si>
  <si>
    <t>등기구 누전</t>
  </si>
  <si>
    <t>매장 주출입구 양개도어 및 자동문 보수</t>
  </si>
  <si>
    <t>명동역점</t>
  </si>
  <si>
    <t>온수기 설치</t>
  </si>
  <si>
    <t>매장 소방 감지기 보수</t>
  </si>
  <si>
    <t>화장실 방화문실린더 교체보수</t>
  </si>
  <si>
    <t>스타필드하남점</t>
  </si>
  <si>
    <t>양주삼숭점</t>
  </si>
  <si>
    <t>주차장 볼라드 보수</t>
  </si>
  <si>
    <t>옥정신도시점</t>
  </si>
  <si>
    <t xml:space="preserve">미끄럼방지 스티커 보수 </t>
  </si>
  <si>
    <t>오금동점</t>
  </si>
  <si>
    <t>사천평화점</t>
  </si>
  <si>
    <t>신대방점</t>
  </si>
  <si>
    <t>군산경암점</t>
  </si>
  <si>
    <t>매장 주출입구 등기구 파손보수</t>
  </si>
  <si>
    <t>영등포구청점</t>
  </si>
  <si>
    <t>기존 현수막 철거</t>
  </si>
  <si>
    <t>동탄그랑파사쥬점</t>
  </si>
  <si>
    <t>광주도천점</t>
  </si>
  <si>
    <t>매장 2층 전기 점검</t>
  </si>
  <si>
    <t>시흥은계점</t>
  </si>
  <si>
    <t>장애인화장실 세면대 및 보수</t>
  </si>
  <si>
    <t>매장 사무실 등기구 스위치 보수</t>
  </si>
  <si>
    <t>하남미사역점</t>
  </si>
  <si>
    <t>계산대 전열 점검</t>
  </si>
  <si>
    <t>안산중앙본점</t>
  </si>
  <si>
    <t>주출입구 세이프양개도어 도어클로저 보수</t>
  </si>
  <si>
    <t>매장 주출입구 세이프양개도어 실린더 보수</t>
  </si>
  <si>
    <t>실내용 반사경 신규 설치</t>
  </si>
  <si>
    <t>차단기 점검</t>
  </si>
  <si>
    <t>사천대로점</t>
  </si>
  <si>
    <t>주차장 잡석 타설</t>
  </si>
  <si>
    <t>화성기안동점</t>
  </si>
  <si>
    <t>계단 링고벨 보수</t>
  </si>
  <si>
    <t>현수막 철거 및 3층 유리 파손</t>
  </si>
  <si>
    <t>남양주오남점</t>
  </si>
  <si>
    <t>광양중동점</t>
  </si>
  <si>
    <t>화장실 소변기 및 도어 실린더 보수</t>
  </si>
  <si>
    <t>매장 현수막 철거</t>
  </si>
  <si>
    <t>수원매교역점</t>
  </si>
  <si>
    <t>창고 도어 보수</t>
  </si>
  <si>
    <t>신도림점</t>
  </si>
  <si>
    <t>파주문산2호점</t>
  </si>
  <si>
    <t>집기보강대 설치</t>
  </si>
  <si>
    <t>거창송정점</t>
  </si>
  <si>
    <t>기존 투광등 단선 및 외부 조명 신설</t>
  </si>
  <si>
    <t>외부 주차장 차단봉 설치</t>
  </si>
  <si>
    <t>매장 외부 주차장쪽 사인물 고정 작업</t>
  </si>
  <si>
    <t>부평중앙점</t>
  </si>
  <si>
    <t>성남중앙점</t>
  </si>
  <si>
    <t>목동깨비시장점</t>
  </si>
  <si>
    <t>매장 바닥전열 보수</t>
  </si>
  <si>
    <t>춘천퇴계2호점</t>
  </si>
  <si>
    <t>경산월드컵대로점</t>
  </si>
  <si>
    <t>주차장 카스토퍼, 차선규제봉 보수</t>
  </si>
  <si>
    <t>경산하양본점</t>
  </si>
  <si>
    <t>카스토퍼 보수</t>
  </si>
  <si>
    <t>여자화장실(장애인) 세면대 누수 의 건</t>
  </si>
  <si>
    <t>매장입구 도어 보수</t>
  </si>
  <si>
    <t>응암2호점</t>
  </si>
  <si>
    <t>파주야당점</t>
  </si>
  <si>
    <t>사무실 도어 보수</t>
  </si>
  <si>
    <t>외부현수막 철거</t>
  </si>
  <si>
    <t>제주연동본점</t>
  </si>
  <si>
    <t>북상주점</t>
  </si>
  <si>
    <t>미아역점</t>
  </si>
  <si>
    <t>출입 하부키 보수</t>
  </si>
  <si>
    <t>서울양평동점</t>
  </si>
  <si>
    <t>창고 센서등 교체보수</t>
  </si>
  <si>
    <t>서귀포혁신도시점</t>
  </si>
  <si>
    <t>방풍실 천정 경량구조물 유지보수 요청의 건</t>
  </si>
  <si>
    <t>외부유리 및 바닥타일 보수</t>
  </si>
  <si>
    <t>김포양곡점</t>
  </si>
  <si>
    <t>매장주변 예초작업</t>
  </si>
  <si>
    <t>등기구 점검 / 교체요청</t>
  </si>
  <si>
    <t>순천서면점</t>
  </si>
  <si>
    <t>핸드레일 보수 요청 건</t>
  </si>
  <si>
    <t>김해장유점</t>
  </si>
  <si>
    <t>카운터 전원선, 랜선 작업</t>
  </si>
  <si>
    <t>대전노은3지구점</t>
  </si>
  <si>
    <t>매장 주출입구 전동어닝 점검</t>
  </si>
  <si>
    <t>스타필드마켓죽전점</t>
  </si>
  <si>
    <t>누전 점검/보수 요청</t>
  </si>
  <si>
    <t>부산남산점</t>
  </si>
  <si>
    <t>인천송도2호점</t>
  </si>
  <si>
    <t>서광주점</t>
  </si>
  <si>
    <t>주차장 돌출된 앙카볼트 제거</t>
  </si>
  <si>
    <t>정화조 에어펌프 교체보수</t>
  </si>
  <si>
    <t>진해신항만점</t>
  </si>
  <si>
    <t>정선본점</t>
  </si>
  <si>
    <t>부산신세계프리미엄아울렛점</t>
  </si>
  <si>
    <t>유리문 보수</t>
  </si>
  <si>
    <t>평택고덕브리티시점</t>
  </si>
  <si>
    <t>방화문 단차 슬로프 설치</t>
  </si>
  <si>
    <t>인천검단신도시점</t>
  </si>
  <si>
    <t>구산역점</t>
  </si>
  <si>
    <t>매장 주출입구 양개도어 실린더 교체보수</t>
  </si>
  <si>
    <t>수도배관 동파 복구</t>
  </si>
  <si>
    <t>매장 핸드레일 보수</t>
  </si>
  <si>
    <t>방화문 시건장치 보수</t>
  </si>
  <si>
    <t>평택중앙로점</t>
  </si>
  <si>
    <t>여수문수점</t>
  </si>
  <si>
    <t>내부계단 핸드레일 브라켓 보수</t>
  </si>
  <si>
    <t>자동문 보수건</t>
  </si>
  <si>
    <t>마곡나루역점</t>
  </si>
  <si>
    <t>포맥스 사인물 철거</t>
  </si>
  <si>
    <t>울산언양점</t>
  </si>
  <si>
    <t>출입구 단차 개선 및 타일 보수</t>
  </si>
  <si>
    <t>롯데마트주엽점</t>
  </si>
  <si>
    <t xml:space="preserve">타일 2EA 보수 </t>
  </si>
  <si>
    <t>롯데마트연수점</t>
  </si>
  <si>
    <t>롯데마트서대전점</t>
  </si>
  <si>
    <t>롯데마트김해점</t>
  </si>
  <si>
    <t>사다리 보관함 보수</t>
  </si>
  <si>
    <t>홈플러스경산점</t>
  </si>
  <si>
    <t>등기구 스위치 보수</t>
  </si>
  <si>
    <t>롯데피트인산본점</t>
  </si>
  <si>
    <t>입구 연출물 천장 고정물 제거</t>
  </si>
  <si>
    <t>현대시티몰가든파이브점</t>
  </si>
  <si>
    <t>하나로클럽방이점</t>
  </si>
  <si>
    <t>세이브존화정점</t>
  </si>
  <si>
    <t>등기구 고정 점검</t>
  </si>
  <si>
    <t>매장 등기구 재고정</t>
  </si>
  <si>
    <t>현대시티아울렛대구점</t>
  </si>
  <si>
    <t>한양쇼핑김해삼정점</t>
  </si>
  <si>
    <t>홍성터미널점</t>
  </si>
  <si>
    <t>홈플러스평촌점</t>
  </si>
  <si>
    <t>등기구 전원 점검 및 보수</t>
  </si>
  <si>
    <t>e에브리데이부산반여점</t>
  </si>
  <si>
    <t>홈플러스상봉점</t>
  </si>
  <si>
    <t>방수실링작업 및 차단기 교체</t>
  </si>
  <si>
    <t>이마트문현점</t>
  </si>
  <si>
    <t>스윙게이트 보수</t>
  </si>
  <si>
    <t>이마트동인천점</t>
  </si>
  <si>
    <t>매장 사무실 슬라이딩도어 보수</t>
  </si>
  <si>
    <t>이마트트레이더스월평점</t>
  </si>
  <si>
    <t>이마트고덕점</t>
  </si>
  <si>
    <t>바닥 전원선 단선</t>
  </si>
  <si>
    <t>롯데몰광명점</t>
  </si>
  <si>
    <t>보수요청 공사(벽걸이 히터교체 외)</t>
  </si>
  <si>
    <t>지하 소방펌프 보수공사</t>
  </si>
  <si>
    <t>엘리베이터 누수로인한 부품교체</t>
  </si>
  <si>
    <t>2026년 2월</t>
  </si>
  <si>
    <t>경주본점</t>
  </si>
  <si>
    <t>엘리베이터 부품교체</t>
  </si>
  <si>
    <t>소방 발신기 보수</t>
  </si>
  <si>
    <t>세면대하부 수도배관 보수</t>
  </si>
  <si>
    <t>울산성남점</t>
  </si>
  <si>
    <t>매장 내/외부 은경 청소</t>
  </si>
  <si>
    <t>매장 누전점검</t>
  </si>
  <si>
    <t>신정네거리점</t>
  </si>
  <si>
    <t>당산점</t>
  </si>
  <si>
    <t>매장 엠프 교체보수</t>
  </si>
  <si>
    <t>오류동점</t>
  </si>
  <si>
    <t>자동문 소음 관련 점검 및 보수</t>
  </si>
  <si>
    <t>등기구 교체 보수</t>
  </si>
  <si>
    <t>화장실 등기구 교체보수</t>
  </si>
  <si>
    <t>구미중앙시장점</t>
  </si>
  <si>
    <t>기둥 재료분리대 보수</t>
  </si>
  <si>
    <t>원주단구점</t>
  </si>
  <si>
    <t>매장시설물 보수</t>
  </si>
  <si>
    <t>대전용문점</t>
  </si>
  <si>
    <t>바닥전열 매립 및 피난유도등 교체보수</t>
  </si>
  <si>
    <t>주출입구 시선유도봉 신규 설치</t>
  </si>
  <si>
    <t>카운터 랜선 보수</t>
  </si>
  <si>
    <t>영수증 프린터 보수</t>
  </si>
  <si>
    <t>계단 보수</t>
  </si>
  <si>
    <t>수원역점</t>
  </si>
  <si>
    <t>계단실 타일 보수</t>
  </si>
  <si>
    <t>천안쌍용점</t>
  </si>
  <si>
    <t>내부계단 포세린 타일 교체보수</t>
  </si>
  <si>
    <t>대구감삼점</t>
  </si>
  <si>
    <t>영동프라자점</t>
  </si>
  <si>
    <t>등기구 보수_추가</t>
  </si>
  <si>
    <t>여자화장실 변기 배관 누수</t>
  </si>
  <si>
    <t>주출입구 하부잠금키 보수</t>
  </si>
  <si>
    <t>대구신당점</t>
  </si>
  <si>
    <t>화재경보기 점검 요청 건</t>
  </si>
  <si>
    <t>계단 대리석 및 등기구 교체보수</t>
  </si>
  <si>
    <t>매장 누수점검 및 등기구,텍스 교체보수</t>
  </si>
  <si>
    <t>안암점</t>
  </si>
  <si>
    <t>바닥 재료분리대 보수</t>
  </si>
  <si>
    <t>방화문 실린더 교체보수</t>
  </si>
  <si>
    <t>대구비산네거리점</t>
  </si>
  <si>
    <t>외부 투광등 보수</t>
  </si>
  <si>
    <t>아이스크림냉동고/냉장고/등기구 전열 점검</t>
  </si>
  <si>
    <t>의정부점</t>
  </si>
  <si>
    <t>매장 바닥타일 교체보수</t>
  </si>
  <si>
    <t>등기구, 텍스, 돌출간판 보수</t>
  </si>
  <si>
    <t>대구율하점</t>
  </si>
  <si>
    <t>강화도어 하부 재료분리대 보수</t>
  </si>
  <si>
    <t>바닥타일 및 등기구 교체보수</t>
  </si>
  <si>
    <t>고양행신점</t>
  </si>
  <si>
    <t>매장 텍스 교체보수</t>
  </si>
  <si>
    <t>매장 주출입구 자동문 교체보수</t>
  </si>
  <si>
    <t>성신여대역점</t>
  </si>
  <si>
    <t>울산남목점</t>
  </si>
  <si>
    <t>등기구 교체보수 _ 추가</t>
  </si>
  <si>
    <t>울산일산지점</t>
  </si>
  <si>
    <t>화장실 전기온수기 교체 건</t>
  </si>
  <si>
    <t>화장실 방화도어 보수</t>
  </si>
  <si>
    <t>부산덕천점</t>
  </si>
  <si>
    <t>계산대 점검 및 보수</t>
  </si>
  <si>
    <t>안양중앙점</t>
  </si>
  <si>
    <t>블라인드 교체 건</t>
  </si>
  <si>
    <t>대구성서이곡점</t>
  </si>
  <si>
    <t>외부 데크 보수</t>
  </si>
  <si>
    <t>충남홍성본점</t>
  </si>
  <si>
    <t>대분류 행잉 제거 12개</t>
  </si>
  <si>
    <t>천안중앙시장점</t>
  </si>
  <si>
    <t>매장 바닥타일 및 분전함 푸쉬버튼 보수</t>
  </si>
  <si>
    <t>에어컨 실내기 배선 및 미사용 멀티탭 정리</t>
  </si>
  <si>
    <t>전원선 매립, 피난유도등, 등기구 보수</t>
  </si>
  <si>
    <t>인천옥련시장점</t>
  </si>
  <si>
    <t>데크 교체보수공사</t>
  </si>
  <si>
    <t>철제 코너가드 고정 및 측판 데크 고정</t>
  </si>
  <si>
    <t>강화도어, 자동문 보수</t>
  </si>
  <si>
    <t>파주교하점</t>
  </si>
  <si>
    <t>ABS도어 실린더 교체</t>
  </si>
  <si>
    <t>춘천퇴계점</t>
  </si>
  <si>
    <t>매장 은경 카테고리 스카시 제거 요청</t>
  </si>
  <si>
    <t>피난유도등 보수건</t>
  </si>
  <si>
    <t>진해중앙점</t>
  </si>
  <si>
    <t>타일, 환풍기 보수</t>
  </si>
  <si>
    <t>화재감지기 신규 설치</t>
  </si>
  <si>
    <t>대구칠곡네거리점</t>
  </si>
  <si>
    <t>부산문현점</t>
  </si>
  <si>
    <t>기둥 은경 철거 및 도장</t>
  </si>
  <si>
    <t>자동문 교체 보수</t>
  </si>
  <si>
    <t>환풍기 덮개 커버 탈락 보수 요청의건</t>
  </si>
  <si>
    <t>매장 주출입구 슬로프 보수공사</t>
  </si>
  <si>
    <t>매장 2층 리프트 안전문 점검 요청</t>
  </si>
  <si>
    <t>내부계단 은경 보수 및 내부 세척</t>
  </si>
  <si>
    <t>부산해운대점</t>
  </si>
  <si>
    <t>1층 계산대 위 환풍기 소음발생</t>
  </si>
  <si>
    <t>후문 강화도어 보수</t>
  </si>
  <si>
    <t>간판 점검건</t>
  </si>
  <si>
    <t>사무실 등기구 스위치 보수</t>
  </si>
  <si>
    <t>자동문 점검건</t>
  </si>
  <si>
    <t>외부 슬로프 논슬립테이프 보수교체</t>
  </si>
  <si>
    <t>도어 클로저 보수</t>
  </si>
  <si>
    <t>벽면 콘센트 탈락 보수</t>
  </si>
  <si>
    <t>스프링클러 신규 설치</t>
  </si>
  <si>
    <t>덕소점</t>
  </si>
  <si>
    <t>천안쌍용사거리점</t>
  </si>
  <si>
    <t>매장 화장실 순간온수기 교체</t>
  </si>
  <si>
    <t>소방 지적사항 보수</t>
  </si>
  <si>
    <t>셔터 점검</t>
  </si>
  <si>
    <t>분당미금(역)점</t>
  </si>
  <si>
    <t>전원선 임시포설 및 신규 포설(화재복구공사)</t>
  </si>
  <si>
    <t>텍스교체건</t>
  </si>
  <si>
    <t>창고 슬라이딩도어 손잡이 보수</t>
  </si>
  <si>
    <t>출입구 잠금장치 보수</t>
  </si>
  <si>
    <t>암사역점</t>
  </si>
  <si>
    <t>핸드레일 신규 설치</t>
  </si>
  <si>
    <t>인하대점</t>
  </si>
  <si>
    <t>바닥타일 보수</t>
  </si>
  <si>
    <t>부산연제점</t>
  </si>
  <si>
    <t>빔프로젝트 교체</t>
  </si>
  <si>
    <t>블라인드 신규교체</t>
  </si>
  <si>
    <t>수원터미널점</t>
  </si>
  <si>
    <t>매장 주출입구 에어커튼 신규 설치</t>
  </si>
  <si>
    <t>부산경성대점</t>
  </si>
  <si>
    <t>텍스, 계단 논슬립, 걸레받이 보수</t>
  </si>
  <si>
    <t>대구동성로본점</t>
  </si>
  <si>
    <t>슬로프 보수</t>
  </si>
  <si>
    <t>수원남문점</t>
  </si>
  <si>
    <t>1층 화장실 문 보수</t>
  </si>
  <si>
    <t>금촌본점</t>
  </si>
  <si>
    <t>천장누수 누전 및 등기구 복구</t>
  </si>
  <si>
    <t>출입문 도어, 기둥 몰딩 보수</t>
  </si>
  <si>
    <t>타일 보수, 유리 시트 부착</t>
  </si>
  <si>
    <t>소방점검 보수</t>
  </si>
  <si>
    <t>매장 주출입구 스프링클러 복구</t>
  </si>
  <si>
    <t>누수로 인한 피해구간 복구</t>
  </si>
  <si>
    <t>출입구 천정 누수</t>
  </si>
  <si>
    <t>화장실 온수기 교체보수</t>
  </si>
  <si>
    <t>2026 1차 방역</t>
  </si>
  <si>
    <t>어닝 보수</t>
  </si>
  <si>
    <t>부산용호점</t>
  </si>
  <si>
    <t>화장실 통수작업, 등기구 보수</t>
  </si>
  <si>
    <t>도난방지기 이설</t>
  </si>
  <si>
    <t>화물용 리프트 점검 및 보수</t>
  </si>
  <si>
    <t>등기구 탈락에 의한 누전 복구</t>
  </si>
  <si>
    <t>은경 보수</t>
  </si>
  <si>
    <t>턴게이트 보수 공사</t>
  </si>
  <si>
    <t>리프트 점검 및 보수</t>
  </si>
  <si>
    <t>원주무실점</t>
  </si>
  <si>
    <t>누전 점검 및 복구</t>
  </si>
  <si>
    <t>주차타워 누수 보수</t>
  </si>
  <si>
    <t>세면대 수전 보수</t>
  </si>
  <si>
    <t>누수 점검 및 누전 복구</t>
  </si>
  <si>
    <t>천안본점</t>
  </si>
  <si>
    <t>바닥 전열 단선 작업</t>
  </si>
  <si>
    <t>강화도어 실린더 교체보수</t>
  </si>
  <si>
    <t>등기구 탈거로 인하여 재고정작업 요청</t>
  </si>
  <si>
    <t>등기구 교체보수</t>
  </si>
  <si>
    <t>전주평화사거리점</t>
  </si>
  <si>
    <t>4층 사무실 방화문 도어클로져 교체작업</t>
  </si>
  <si>
    <t>2층 고객 화장실 문 잠김으로 인한 보수 요청</t>
  </si>
  <si>
    <t>소변기 보수교체</t>
  </si>
  <si>
    <t>바닥 경사로 마감 보수</t>
  </si>
  <si>
    <t>부평역남부점</t>
  </si>
  <si>
    <t>볼라드 옆 전선 정리</t>
  </si>
  <si>
    <t>성남모란역점</t>
  </si>
  <si>
    <t>청주산남2호점</t>
  </si>
  <si>
    <t>자동문 점검 및 보수교체</t>
  </si>
  <si>
    <t>내부계단 논슬립테이프 보수</t>
  </si>
  <si>
    <t>용인중앙시장점</t>
  </si>
  <si>
    <t>도어락 교체보수</t>
  </si>
  <si>
    <t>외부 핸드레일 보수</t>
  </si>
  <si>
    <t>화장실 도어락 교체보수</t>
  </si>
  <si>
    <t>주출입구 데크 보수 및 어닝 세척</t>
  </si>
  <si>
    <t>1층 후면 바닥 평탄화</t>
  </si>
  <si>
    <t>내부기둥 은경 보수</t>
  </si>
  <si>
    <t>방화문 도어클로저 신규 설치</t>
  </si>
  <si>
    <t>AISS 배터리 교체보수</t>
  </si>
  <si>
    <t>집기보강대 신규 설치</t>
  </si>
  <si>
    <t>매장 주출입구 전동어닝 보수</t>
  </si>
  <si>
    <t>안산고잔본점</t>
  </si>
  <si>
    <t>시설점검 보완 조치</t>
  </si>
  <si>
    <t>매장 외부·내부 핸드레일 보수</t>
  </si>
  <si>
    <t>비트플렉스왕십리역점</t>
  </si>
  <si>
    <t>대림2호점</t>
  </si>
  <si>
    <t>자동문 미작동 현상으로 긴급 접수</t>
  </si>
  <si>
    <t>매장내 기둥 코너비드 보수</t>
  </si>
  <si>
    <t>수도배관 동파 점검</t>
  </si>
  <si>
    <t>대구상인네거리점</t>
  </si>
  <si>
    <t>울산삼산본점</t>
  </si>
  <si>
    <t>주차장 휀스 교체보수</t>
  </si>
  <si>
    <t>1층 화장실 출입구 도어 손잡이 보수</t>
  </si>
  <si>
    <t>환풍기, 핸드레일 보수</t>
  </si>
  <si>
    <t>핸드레일 유리 나사 고정</t>
  </si>
  <si>
    <t>외부 세척</t>
  </si>
  <si>
    <t>컵핸들 교체보수</t>
  </si>
  <si>
    <t>진접본점</t>
  </si>
  <si>
    <t>외부 투광등 미점등 보수</t>
  </si>
  <si>
    <t>4층 창고 등기구 보수</t>
  </si>
  <si>
    <t>연장된 수도배관 보수</t>
  </si>
  <si>
    <t>계단은경 청소 요청</t>
  </si>
  <si>
    <t>시설물 보수</t>
  </si>
  <si>
    <t>누전 점검</t>
  </si>
  <si>
    <t>계단 보수 요청</t>
  </si>
  <si>
    <t>바닥 전열 단선</t>
  </si>
  <si>
    <t>피난유도등, 등기구, 유도간판 보수</t>
  </si>
  <si>
    <t>지하 주차장 배수관 보수</t>
  </si>
  <si>
    <t>리프트 보수</t>
  </si>
  <si>
    <t>화장실 변기점검</t>
  </si>
  <si>
    <t>스프링클러 헤드 고정</t>
  </si>
  <si>
    <t>1층 벽면 집기 보강대 설치</t>
  </si>
  <si>
    <t>타일 교체</t>
  </si>
  <si>
    <t>온수기 교체</t>
  </si>
  <si>
    <t>부산명지국제신도시점</t>
  </si>
  <si>
    <t>계단실 핸드레일 설치공사</t>
  </si>
  <si>
    <t>전주인후2호점</t>
  </si>
  <si>
    <t>세이프도어 하부키 보수</t>
  </si>
  <si>
    <t>천안불당2호점</t>
  </si>
  <si>
    <t>당진시곡점</t>
  </si>
  <si>
    <t>화장실 방화문 실린더 교체</t>
  </si>
  <si>
    <t>세면대 수전 교체</t>
  </si>
  <si>
    <t>유리 파손 보수</t>
  </si>
  <si>
    <t>소방 피난유도등 교체보수</t>
  </si>
  <si>
    <t>카운터 누전 복구</t>
  </si>
  <si>
    <t>강화도어 교체</t>
  </si>
  <si>
    <t>인천도화동점</t>
  </si>
  <si>
    <t>매장 남여화장실 난방기 설치 요청</t>
  </si>
  <si>
    <t>김포풍무로점</t>
  </si>
  <si>
    <t>주차차단봉 제거 요청</t>
  </si>
  <si>
    <t>소방 수신기 점검</t>
  </si>
  <si>
    <t>양주덕정점</t>
  </si>
  <si>
    <t>매장 출입구 계단 논슬립 및 타일 보수</t>
  </si>
  <si>
    <t>바닥 내부 타일 보수 요청 건</t>
  </si>
  <si>
    <t>3층 미점등 등기구 교체</t>
  </si>
  <si>
    <t>주차장 휀스 보수</t>
  </si>
  <si>
    <t>출입문 교체보수</t>
  </si>
  <si>
    <t>주차장 출입구 실외기 거치대 부분 누수 보수</t>
  </si>
  <si>
    <t>외부 판넬 마감</t>
  </si>
  <si>
    <t>세면대 보수</t>
  </si>
  <si>
    <t>쌍문세라믹사거리점</t>
  </si>
  <si>
    <t>매장 주출입구 투광등 교체보수</t>
  </si>
  <si>
    <t>광주쌍암점</t>
  </si>
  <si>
    <t>화장실 전기온수기 교체보수</t>
  </si>
  <si>
    <t>군산중앙로점</t>
  </si>
  <si>
    <t>카운터 바닥전열 매립 공사</t>
  </si>
  <si>
    <t>승강기 내외부 세척</t>
  </si>
  <si>
    <t>등기구 누전 점검</t>
  </si>
  <si>
    <t>앰프 및 스피커 점검 요청</t>
  </si>
  <si>
    <t>엠프 교체보수</t>
  </si>
  <si>
    <t>분전함/전열 점검요청</t>
  </si>
  <si>
    <t>매장 주출입구 점자블럭 보수</t>
  </si>
  <si>
    <t>아산모종점</t>
  </si>
  <si>
    <t>화장실 문 손잡이 파손</t>
  </si>
  <si>
    <t>여의도점</t>
  </si>
  <si>
    <t>신주커버 보수</t>
  </si>
  <si>
    <t>대구서재점</t>
  </si>
  <si>
    <t>전면 주차장 시설물 개선보수</t>
  </si>
  <si>
    <t>리프트(덤웨이터) 보수</t>
  </si>
  <si>
    <t>목포본점</t>
  </si>
  <si>
    <t>출입문 점검</t>
  </si>
  <si>
    <t>속초본점</t>
  </si>
  <si>
    <t>부산동래역점</t>
  </si>
  <si>
    <t>인천석남동점</t>
  </si>
  <si>
    <t>4층 화장실 수전 보수</t>
  </si>
  <si>
    <t>매장 주출입구 양개도어 하부 잠금키 보수</t>
  </si>
  <si>
    <t>부산기장본점</t>
  </si>
  <si>
    <t>압구정역점</t>
  </si>
  <si>
    <t>등기구, 텍스, 환풍기 커버 보수</t>
  </si>
  <si>
    <t>화성진안점</t>
  </si>
  <si>
    <t>간판 타이머 보수</t>
  </si>
  <si>
    <t>소방 감지기, 등기구, 블라인드 보수</t>
  </si>
  <si>
    <t>광주동림지구점</t>
  </si>
  <si>
    <t>도난방지안테나 보수 요청 건</t>
  </si>
  <si>
    <t>도어클로저 보수</t>
  </si>
  <si>
    <t>마이크 점검 및 보수</t>
  </si>
  <si>
    <t>인천가정동점</t>
  </si>
  <si>
    <t>바닥타일 공사 건</t>
  </si>
  <si>
    <t>출입구 도어 유리 교체보수</t>
  </si>
  <si>
    <t>오픈클로즈 블라인드, 등기구 교체보수</t>
  </si>
  <si>
    <t>기둥 은경마감 보수</t>
  </si>
  <si>
    <t>주차장 입구 높이 안내 봉 수리</t>
  </si>
  <si>
    <t>전원선 단선 마감</t>
  </si>
  <si>
    <t>순천풍덕점</t>
  </si>
  <si>
    <t>계단실 은경위 시트마감, 외부 간판 보수</t>
  </si>
  <si>
    <t>인천운서동점</t>
  </si>
  <si>
    <t>등기구 교체보수 , 슬로프 고정, 신주커버 2개소 마감</t>
  </si>
  <si>
    <t>벽면집기 점검 및 보수</t>
  </si>
  <si>
    <t>바닥타일 보수 요청건</t>
  </si>
  <si>
    <t>누전 복구</t>
  </si>
  <si>
    <t>포항해도점</t>
  </si>
  <si>
    <t>포항문덕점</t>
  </si>
  <si>
    <t>블라인드, 등기구 보수</t>
  </si>
  <si>
    <t>청량리역점</t>
  </si>
  <si>
    <t>내부게단 등기구 교체보수</t>
  </si>
  <si>
    <t>울산태화루점</t>
  </si>
  <si>
    <t>외부 현수막 철거(추가)</t>
  </si>
  <si>
    <t>외부 현수막 철거</t>
  </si>
  <si>
    <t>여자화장실 등기구 전열 보수</t>
  </si>
  <si>
    <t>매장 등기구 교체 및 내부세척</t>
  </si>
  <si>
    <t>울산신정점</t>
  </si>
  <si>
    <t>1층 윈도우 유리 파손 교체</t>
  </si>
  <si>
    <t>포항문덕본점</t>
  </si>
  <si>
    <t>송파구청점</t>
  </si>
  <si>
    <t>등기구 보수, 사인물 고정</t>
  </si>
  <si>
    <t>파손 타일 교체보수</t>
  </si>
  <si>
    <t>신주단지 및 전기간선 철거</t>
  </si>
  <si>
    <t>대구유가점</t>
  </si>
  <si>
    <t>행잉 거치대 고정작업</t>
  </si>
  <si>
    <t>이천중앙점</t>
  </si>
  <si>
    <t>계산대 신주커버 전선 끊어짐</t>
  </si>
  <si>
    <t>경주용황지구점</t>
  </si>
  <si>
    <t>도난방지안테나 작동 불량 점검</t>
  </si>
  <si>
    <t>CCTV모니터 이전 설치</t>
  </si>
  <si>
    <t>바닥전열 매립 공사</t>
  </si>
  <si>
    <t>사다리보관함 시건장치 보수</t>
  </si>
  <si>
    <t>매장 외부핸드레일 보수</t>
  </si>
  <si>
    <t>도어 잠금장치 보수</t>
  </si>
  <si>
    <t>온수기 교체 작업</t>
  </si>
  <si>
    <t>어닝 천갈이</t>
  </si>
  <si>
    <t>화장실, 주차장 해빙 작업</t>
  </si>
  <si>
    <t>주출입구 시건장치 보수</t>
  </si>
  <si>
    <t>행신역점</t>
  </si>
  <si>
    <t>매장 링고벨 오작동</t>
  </si>
  <si>
    <t>내부 핸드레일 보수</t>
  </si>
  <si>
    <t>포천송우사거리점</t>
  </si>
  <si>
    <t>주출입구 양개도어 보수</t>
  </si>
  <si>
    <t>남원본점</t>
  </si>
  <si>
    <t>외부 등기구 교체보수</t>
  </si>
  <si>
    <t>시흥정왕역점</t>
  </si>
  <si>
    <t>바닥전열 분리</t>
  </si>
  <si>
    <t>화장실 큐비클 보수</t>
  </si>
  <si>
    <t>외부 화장실 등기구 교체보수</t>
  </si>
  <si>
    <t>부산서동역점</t>
  </si>
  <si>
    <t>방화문, 화장실 변기 보수</t>
  </si>
  <si>
    <t>소벤기센서 보수</t>
  </si>
  <si>
    <t>부산대연점</t>
  </si>
  <si>
    <t>제주애월점</t>
  </si>
  <si>
    <t>매장 누수 점검 요청</t>
  </si>
  <si>
    <t>주차장 등기구 교체</t>
  </si>
  <si>
    <t>전주본점</t>
  </si>
  <si>
    <t>블라인드 고정</t>
  </si>
  <si>
    <t>스타필드안성점</t>
  </si>
  <si>
    <t>사무실 슬라이딩도어 교체보수</t>
  </si>
  <si>
    <t>변기 보수</t>
  </si>
  <si>
    <t>타일, 등기구 보수</t>
  </si>
  <si>
    <t>1층 비상문 잠금장치 보수</t>
  </si>
  <si>
    <t>주차장 구청지적사항 보완 조치</t>
  </si>
  <si>
    <t>매장내부 벽면 도장보수</t>
  </si>
  <si>
    <t>태백황지점</t>
  </si>
  <si>
    <t>자동문 보수 및 슬라이딩도어</t>
  </si>
  <si>
    <t>바닥 매립커버 보수 및 논슬립테이프 부착</t>
  </si>
  <si>
    <t>인천열우물사거리점</t>
  </si>
  <si>
    <t>등기구 교체보수 (추가)</t>
  </si>
  <si>
    <t>서산본점</t>
  </si>
  <si>
    <t>매장 후문 강화도어 보수</t>
  </si>
  <si>
    <t>원주태장점</t>
  </si>
  <si>
    <t>외부 유리 교체보수</t>
  </si>
  <si>
    <t>동탄반송점</t>
  </si>
  <si>
    <t>영천점</t>
  </si>
  <si>
    <t>자동문, 후문 도어, 사인물 고정 작업</t>
  </si>
  <si>
    <t>전주신시가지2호점</t>
  </si>
  <si>
    <t>매장 유리문 단차로 인한 결함</t>
  </si>
  <si>
    <t>마산삼계점</t>
  </si>
  <si>
    <t>대림썬프라자점</t>
  </si>
  <si>
    <t>진주금산점</t>
  </si>
  <si>
    <t>주차장 볼라드 시공</t>
  </si>
  <si>
    <t>거제수월점</t>
  </si>
  <si>
    <t>휀스 보수</t>
  </si>
  <si>
    <t>매장 블라인드 교체보수</t>
  </si>
  <si>
    <t>매장입출구 보수 건</t>
  </si>
  <si>
    <t>평창진부점</t>
  </si>
  <si>
    <t>매장 주출입구 강화도어 및 점자블럭 보수</t>
  </si>
  <si>
    <t>양산물금역점</t>
  </si>
  <si>
    <t>화장실 보수</t>
  </si>
  <si>
    <t>인천산곡역점</t>
  </si>
  <si>
    <t>아산장재점</t>
  </si>
  <si>
    <t>화장실 실린더 및 1층 창고 등기구 교체</t>
  </si>
  <si>
    <t>경기광주중대점</t>
  </si>
  <si>
    <t>데코 타일 보수</t>
  </si>
  <si>
    <t>아산방축점</t>
  </si>
  <si>
    <t>내부 자동문이 작동이 안됨</t>
  </si>
  <si>
    <t>매장 내부 전등라인 불 안 들어옴</t>
  </si>
  <si>
    <t>매장 온풍기 설치</t>
  </si>
  <si>
    <t>[A/S] 남여 화장실 실린더 재보수</t>
  </si>
  <si>
    <t>진해자은점</t>
  </si>
  <si>
    <t>강화도어 손잡이 보수, 사다리 보관함 보수</t>
  </si>
  <si>
    <t>송탄본점</t>
  </si>
  <si>
    <t>매장 분전함 점검 및 보수</t>
  </si>
  <si>
    <t>강화도어 설치 및 등기구 점검</t>
  </si>
  <si>
    <t>외부 배수관 점검 요청의 건</t>
  </si>
  <si>
    <t>군산소룡점</t>
  </si>
  <si>
    <t>주차장 카스톱퍼 보수</t>
  </si>
  <si>
    <t>매장 소방배선 보수</t>
  </si>
  <si>
    <t>주차장 앙카볼트 제거</t>
  </si>
  <si>
    <t>외부기초 대리석 보수</t>
  </si>
  <si>
    <t>주출입구 자동문 점검 및 보수</t>
  </si>
  <si>
    <t>장애인주차장 도색 및 장애인주차장 표지판 부착</t>
  </si>
  <si>
    <t>개포동점</t>
  </si>
  <si>
    <t>전기계량기 점검</t>
  </si>
  <si>
    <t>평창점</t>
  </si>
  <si>
    <t>사무실 경량벽체 공사</t>
  </si>
  <si>
    <t>화장실 대변기 부속 교체보수</t>
  </si>
  <si>
    <t>누수점검 및 차단기 및 전열 보수</t>
  </si>
  <si>
    <t>시트지 교체 및 포맥스 재고정</t>
  </si>
  <si>
    <t>의정부용현점</t>
  </si>
  <si>
    <t>매장내 1층 ~ 4층 핸드레일 점검 및 보수 요청 건</t>
  </si>
  <si>
    <t>창고, 사다리보관함 도어 보수</t>
  </si>
  <si>
    <t>남양주다산본점</t>
  </si>
  <si>
    <t>대전괴정점</t>
  </si>
  <si>
    <t>매장 바닥타일 및 등기구 보수</t>
  </si>
  <si>
    <t>태안평천점</t>
  </si>
  <si>
    <t>구로디지털단지역점</t>
  </si>
  <si>
    <t>재료분리대 커버 및 힌지커버 고정</t>
  </si>
  <si>
    <t>의정부민락3호점</t>
  </si>
  <si>
    <t>평택동삭점</t>
  </si>
  <si>
    <t>외부 매립형 볼라드 보수</t>
  </si>
  <si>
    <t>주차장 시선유도봉 교체보수</t>
  </si>
  <si>
    <t>화장실 전열 보수</t>
  </si>
  <si>
    <t>양산금산점</t>
  </si>
  <si>
    <t>외부 등기구 누전 복구</t>
  </si>
  <si>
    <t>남양주월산점</t>
  </si>
  <si>
    <t>통영북신점</t>
  </si>
  <si>
    <t>전주삼천점</t>
  </si>
  <si>
    <t>논슬립 보수</t>
  </si>
  <si>
    <t>여주하동점</t>
  </si>
  <si>
    <t>장애인주차구역 및 경차전용 주차 표지판 재설치</t>
  </si>
  <si>
    <t>부산해운대마린시티점</t>
  </si>
  <si>
    <t>소방 비상방송 연동 보수</t>
  </si>
  <si>
    <t>평택죽백점</t>
  </si>
  <si>
    <t>주출입구 및 매장 바닥 타일 보수</t>
  </si>
  <si>
    <t>이스턴스퀘어강동천호점</t>
  </si>
  <si>
    <t>주출입구 세이프도어 보수</t>
  </si>
  <si>
    <t>군산본점</t>
  </si>
  <si>
    <t>주출입구 양개도어 실린더 설치 및 내부계단 핸드레일 보수</t>
  </si>
  <si>
    <t>대전중리본점</t>
  </si>
  <si>
    <t>입구 문 고장</t>
  </si>
  <si>
    <t>고양신원점</t>
  </si>
  <si>
    <t>남양주차산점</t>
  </si>
  <si>
    <t>매장 외부 전선 스파크 발생 건</t>
  </si>
  <si>
    <t>경산남부점</t>
  </si>
  <si>
    <t>홍성2호점</t>
  </si>
  <si>
    <t>완주봉동점</t>
  </si>
  <si>
    <t>화장실 대변기 부품 교체보수</t>
  </si>
  <si>
    <t>경주시외버스터미널점</t>
  </si>
  <si>
    <t>매장 계단실 조명 보수</t>
  </si>
  <si>
    <t>2층 사무실 도어 보수</t>
  </si>
  <si>
    <t>롯데마트화명점</t>
  </si>
  <si>
    <t>간판 교체보수</t>
  </si>
  <si>
    <t>기둥 연출물 철거</t>
  </si>
  <si>
    <t>AK몰기흥점</t>
  </si>
  <si>
    <t>전기 차단기 및 턴게이트 점검</t>
  </si>
  <si>
    <t>과천식자재마트점</t>
  </si>
  <si>
    <t>홈플러스중계점</t>
  </si>
  <si>
    <t>미니돌출간판 재고정</t>
  </si>
  <si>
    <t>홈플러스청라점</t>
  </si>
  <si>
    <t>매장 주출입구 스윙게이트 보수</t>
  </si>
  <si>
    <t>e에브리데이남가좌점</t>
  </si>
  <si>
    <t>타임테라스화성동탄(홈플)점</t>
  </si>
  <si>
    <t>주출입구이원화공사</t>
  </si>
  <si>
    <t>2026년 3월</t>
  </si>
  <si>
    <t>기둥도장보수</t>
  </si>
  <si>
    <t>소방시설보수공사</t>
  </si>
  <si>
    <t>소방지적사항 보수</t>
  </si>
  <si>
    <t>구리2호점</t>
  </si>
  <si>
    <t>매장 주출입구 자동문 고무패킹 보수</t>
  </si>
  <si>
    <t>계산대 마이크 신규 설치</t>
  </si>
  <si>
    <t>매장 주출입구 슬로프 보수</t>
  </si>
  <si>
    <t>경산하양점</t>
  </si>
  <si>
    <t>블라인드 보수교체</t>
  </si>
  <si>
    <t>간석점</t>
  </si>
  <si>
    <t>제주본점</t>
  </si>
  <si>
    <t>리프트점검 (특별점검)</t>
  </si>
  <si>
    <t>타일 및 포충기 보수</t>
  </si>
  <si>
    <t>군자역점</t>
  </si>
  <si>
    <t>콘센트 누전</t>
  </si>
  <si>
    <t>아산점</t>
  </si>
  <si>
    <t>천장대분류철수</t>
  </si>
  <si>
    <t>중계동점</t>
  </si>
  <si>
    <t>자동문 밸런스 조정</t>
  </si>
  <si>
    <t>계룡점</t>
  </si>
  <si>
    <t>천장 석고텍스 및 등기구 교체보수</t>
  </si>
  <si>
    <t>매장 주출입구 데크 보수</t>
  </si>
  <si>
    <t>2026년 리프트 1차 점검_추가</t>
  </si>
  <si>
    <t>타일, 마감 보수</t>
  </si>
  <si>
    <t>논산점</t>
  </si>
  <si>
    <t>공주점</t>
  </si>
  <si>
    <t>매장내 스피커 보수</t>
  </si>
  <si>
    <t>부천자유시장점</t>
  </si>
  <si>
    <t>환풍기 커버 교체 요청</t>
  </si>
  <si>
    <t>남영역점</t>
  </si>
  <si>
    <t>태안터미널점</t>
  </si>
  <si>
    <t>내부기둥 마감면 은경 보수</t>
  </si>
  <si>
    <t>타일, 텍스 보수</t>
  </si>
  <si>
    <t>해드 및 감지기의 작동 여부 추가건</t>
  </si>
  <si>
    <t>매장기둥 은경 보수</t>
  </si>
  <si>
    <t>투광등 고정작업</t>
  </si>
  <si>
    <t>신곡시장점</t>
  </si>
  <si>
    <t>인천석바위점</t>
  </si>
  <si>
    <t>논슬립 테이프 보수</t>
  </si>
  <si>
    <t>천장 카테고리 철수</t>
  </si>
  <si>
    <t>제주화북점</t>
  </si>
  <si>
    <t>주출입구 데크 및 방화문 실리콘 보수</t>
  </si>
  <si>
    <t>매장 내 CCTV 모니터 철수</t>
  </si>
  <si>
    <t>통영항남점</t>
  </si>
  <si>
    <t>매장 기둥 은경 보수</t>
  </si>
  <si>
    <t>등기구, 환풍기, 신주커버 보수</t>
  </si>
  <si>
    <t>환풍기 보수교체</t>
  </si>
  <si>
    <t>누수 원인 파악 요청</t>
  </si>
  <si>
    <t>수전 보수</t>
  </si>
  <si>
    <t>까치산2호점</t>
  </si>
  <si>
    <t>천장 카테고리 철거</t>
  </si>
  <si>
    <t>천장 누수 및 텍스교체</t>
  </si>
  <si>
    <t>등기구 및 환풍기 보수</t>
  </si>
  <si>
    <t>봉천2호점</t>
  </si>
  <si>
    <t>간판 누전 점검 및 복구</t>
  </si>
  <si>
    <t>용산아이파크몰점</t>
  </si>
  <si>
    <t>자동문보수</t>
  </si>
  <si>
    <t>창고시설 보수공사</t>
  </si>
  <si>
    <t>논슬립 테이프 시공</t>
  </si>
  <si>
    <t>칠곡왜관점</t>
  </si>
  <si>
    <t>주차안내 표지판, 도어 손잡이 보수</t>
  </si>
  <si>
    <t>등기구 보수 요청건</t>
  </si>
  <si>
    <t>대전배재대점</t>
  </si>
  <si>
    <t>내외부 바닥타일 보수</t>
  </si>
  <si>
    <t>매장 등기구 및 텍스 교체보수</t>
  </si>
  <si>
    <t>등기구, 게량기 커버 보수</t>
  </si>
  <si>
    <t>화장실 수전 교체</t>
  </si>
  <si>
    <t>천장 텍스 교체보수</t>
  </si>
  <si>
    <t>삼양시장점</t>
  </si>
  <si>
    <t>가능역점</t>
  </si>
  <si>
    <t>매장 내부계단 논슬립 보수</t>
  </si>
  <si>
    <t>계단 타일 보수</t>
  </si>
  <si>
    <t>부산수영점</t>
  </si>
  <si>
    <t>포항죽도시장점</t>
  </si>
  <si>
    <t>부산남포점</t>
  </si>
  <si>
    <t>계단 타일 교체</t>
  </si>
  <si>
    <t>목도어 손잡이 교체보수</t>
  </si>
  <si>
    <t>수지2호점</t>
  </si>
  <si>
    <t>광주양산점</t>
  </si>
  <si>
    <t>타일 보수_추가</t>
  </si>
  <si>
    <t>정시점검 지적사항 보완 조치</t>
  </si>
  <si>
    <t>강릉중앙점</t>
  </si>
  <si>
    <t>링고벨 신규설치</t>
  </si>
  <si>
    <t>매장 주출입구 논슬립테이프 보수</t>
  </si>
  <si>
    <t>등기구 및 텍스 교체보수</t>
  </si>
  <si>
    <t>양주고읍점</t>
  </si>
  <si>
    <t>오픈클로즈 블라인드 교체</t>
  </si>
  <si>
    <t>시흥사거리점</t>
  </si>
  <si>
    <t>폐기물 처리</t>
  </si>
  <si>
    <t>은경 파손구간 은경위 시트 부착</t>
  </si>
  <si>
    <t>외부 슬로프 보수</t>
  </si>
  <si>
    <t>매장 바닥타일 교체</t>
  </si>
  <si>
    <t>매장바닥 신주커버 보수</t>
  </si>
  <si>
    <t>교육장 출입문 손잡이 보수</t>
  </si>
  <si>
    <t>창고 스프링클러 증설 공사 및 감지기, 시각경보기 설치</t>
  </si>
  <si>
    <t>강남구청역점</t>
  </si>
  <si>
    <t>등기구, 스프링클러 보수</t>
  </si>
  <si>
    <t>손잡이 교체건</t>
  </si>
  <si>
    <t>울산방어점</t>
  </si>
  <si>
    <t>청주율량2지구점</t>
  </si>
  <si>
    <t>타일 교체_추가</t>
  </si>
  <si>
    <t>도어 손잡이, 핸드레일 보수</t>
  </si>
  <si>
    <t>슬로프 논슬립, 어닝 투광등 보수</t>
  </si>
  <si>
    <t>차단기 보수교체</t>
  </si>
  <si>
    <t>외부 간판 세척</t>
  </si>
  <si>
    <t>전기안전관리자 지적사항 보완 조치</t>
  </si>
  <si>
    <t>순천중앙시장점</t>
  </si>
  <si>
    <t>포천본점</t>
  </si>
  <si>
    <t>오창점</t>
  </si>
  <si>
    <t>도어 시건장치 보수</t>
  </si>
  <si>
    <t>전열 보수</t>
  </si>
  <si>
    <t>천장 모니터프레임 제거</t>
  </si>
  <si>
    <t>개봉역남부점</t>
  </si>
  <si>
    <t>외부 카트보관대 철거</t>
  </si>
  <si>
    <t>펌프실 누수</t>
  </si>
  <si>
    <t>제주연동점</t>
  </si>
  <si>
    <t>지하 1층 천장 누수</t>
  </si>
  <si>
    <t>암막블라인드 설치 건</t>
  </si>
  <si>
    <t>매장 주차장입구 지주간판, 매장입구 투광등, 정사각형 간판 미점등 점검</t>
  </si>
  <si>
    <t>중곡역점</t>
  </si>
  <si>
    <t>환풍기 탈락 보수</t>
  </si>
  <si>
    <t>주차장 세이프양개도어 실린더 및 램프 대리석 보수</t>
  </si>
  <si>
    <t>송도트리플스트리트점</t>
  </si>
  <si>
    <t>조명 미점등 보수</t>
  </si>
  <si>
    <t>도어클로저 설치</t>
  </si>
  <si>
    <t>계단 논슬립 보수 및 블라인드 보수</t>
  </si>
  <si>
    <t>소방시설 보수</t>
  </si>
  <si>
    <t>아차산역2호점</t>
  </si>
  <si>
    <t>부산화명2호점</t>
  </si>
  <si>
    <t>소방 펌프실 누수 점검</t>
  </si>
  <si>
    <t>등기구 반사판 교체보수</t>
  </si>
  <si>
    <t>창고앞 은경마감부위 은경 교체</t>
  </si>
  <si>
    <t>화장실 대변기 누수 보수</t>
  </si>
  <si>
    <t>파지보관함 철거</t>
  </si>
  <si>
    <t>상시전열 신규 포설</t>
  </si>
  <si>
    <t>피난용 방화문 도어클로저 보수</t>
  </si>
  <si>
    <t>대구본리점</t>
  </si>
  <si>
    <t>대전유성온천역점</t>
  </si>
  <si>
    <t>환풍기 커버 보수</t>
  </si>
  <si>
    <t>자바라도어 교체보수</t>
  </si>
  <si>
    <t>음성혁신도시점</t>
  </si>
  <si>
    <t>온수기 신규교체</t>
  </si>
  <si>
    <t>경산중앙점</t>
  </si>
  <si>
    <t>내부계단 유리난간 다보볼트 체결</t>
  </si>
  <si>
    <t>옥상 휀스 보수</t>
  </si>
  <si>
    <t>주차장 출입구 경계석 보수</t>
  </si>
  <si>
    <t>광주매곡점</t>
  </si>
  <si>
    <t>계산대 바닥전열 매립</t>
  </si>
  <si>
    <t>매장 주차장 입구 아스콘 처리 요청건</t>
  </si>
  <si>
    <t>지주간판 차단기 점검</t>
  </si>
  <si>
    <t>경산영남대점</t>
  </si>
  <si>
    <t>매장 정전에 따른 전기 점검</t>
  </si>
  <si>
    <t>유리 교체 및 시트지 부착</t>
  </si>
  <si>
    <t>나주혁신점</t>
  </si>
  <si>
    <t>영통판타지움점</t>
  </si>
  <si>
    <t>수도시설 누수 점검</t>
  </si>
  <si>
    <t>세면대 배수 점검 및 폽업 시공</t>
  </si>
  <si>
    <t>유도방수 제거 및 텍스 교체</t>
  </si>
  <si>
    <t>주차장 포트홀 보수</t>
  </si>
  <si>
    <t>울산병영점</t>
  </si>
  <si>
    <t>주출입구 전동어닝 보수</t>
  </si>
  <si>
    <t>내부계단 세척</t>
  </si>
  <si>
    <t>도어 안전고리 설치</t>
  </si>
  <si>
    <t>승강기 내부 게시판 철거 및 신규 설치</t>
  </si>
  <si>
    <t>리프트 문수리 점검요청</t>
  </si>
  <si>
    <t>리프트 수리 점검요청</t>
  </si>
  <si>
    <t>리프트 수리</t>
  </si>
  <si>
    <t>입구 자동문 미작동</t>
  </si>
  <si>
    <t>승강기 바닥타일 보수</t>
  </si>
  <si>
    <t>바닥 신주커버 마감</t>
  </si>
  <si>
    <t>주출입구 양개도어 손끼임방지 보수</t>
  </si>
  <si>
    <t>구미형곡네거리점</t>
  </si>
  <si>
    <t>창문 손잡기 교체보수</t>
  </si>
  <si>
    <t>타일보수</t>
  </si>
  <si>
    <t>강화도어 힌지 흔들림 현상 확인</t>
  </si>
  <si>
    <t>매장 주출입구 강화도어 실린더 교체</t>
  </si>
  <si>
    <t>바닥전원 신주커버 마감</t>
  </si>
  <si>
    <t>주차장 라인 도색 공사</t>
  </si>
  <si>
    <t>전원선 단선 마감 및 카트거치대 철거</t>
  </si>
  <si>
    <t>[ A/S ] 주출입구 점자블럭 보수</t>
  </si>
  <si>
    <t>매장 바닥타일 및 시설물 보수</t>
  </si>
  <si>
    <t>주차장 배수로 트렌치 보수</t>
  </si>
  <si>
    <t>연출기둥 철거 및 마감</t>
  </si>
  <si>
    <t>벽면 통합 시각경보기 이전 설치</t>
  </si>
  <si>
    <t>매장입구 타일 보수</t>
  </si>
  <si>
    <t>바닥 전열 단선 마감</t>
  </si>
  <si>
    <t>어닝 천 교체</t>
  </si>
  <si>
    <t>카트거치대 철거</t>
  </si>
  <si>
    <t>외부 실리콘, 투광등, 간접등 보수</t>
  </si>
  <si>
    <t>마이크 점검 및 보수건</t>
  </si>
  <si>
    <t>내부계단 노후 등기구 보수</t>
  </si>
  <si>
    <t>링고벨 탈락 보수</t>
  </si>
  <si>
    <t>안성옥산점</t>
  </si>
  <si>
    <t>주출입구 전동어닝 천 보수</t>
  </si>
  <si>
    <t>매장 주출입구 블라인드 교체</t>
  </si>
  <si>
    <t>온수기 및 환풍기 교체</t>
  </si>
  <si>
    <t>소변기, 양변기 보수</t>
  </si>
  <si>
    <t>환풍기, 등기구 보수</t>
  </si>
  <si>
    <t>춘천후평점</t>
  </si>
  <si>
    <t>어닝 돌출암 보수</t>
  </si>
  <si>
    <t>내부 벽면 유리마감 보수</t>
  </si>
  <si>
    <t>장한평역점</t>
  </si>
  <si>
    <t>피난용 방화문 보수</t>
  </si>
  <si>
    <t>대전문화점</t>
  </si>
  <si>
    <t>강화도어, 누전 보수</t>
  </si>
  <si>
    <t>창원상남본점</t>
  </si>
  <si>
    <t>제주시청점</t>
  </si>
  <si>
    <t>핸드레일 도색</t>
  </si>
  <si>
    <t>계단 등기구 및 핸드레일 보수</t>
  </si>
  <si>
    <t>승강기안전관리자 지적사항 보완 조치</t>
  </si>
  <si>
    <t>3층 직원휴게실 문 보수요청</t>
  </si>
  <si>
    <t>매장 입구 유리문 보수의 건</t>
  </si>
  <si>
    <t>아산배방점</t>
  </si>
  <si>
    <t>화장실 대변기 및 등기구 보수</t>
  </si>
  <si>
    <t>익산배산점</t>
  </si>
  <si>
    <t>내부기둥 코너 보수</t>
  </si>
  <si>
    <t>등기구 및 바닥전열 보수</t>
  </si>
  <si>
    <t>주차장 시설물 보수 임시조치</t>
  </si>
  <si>
    <t>서면지하상가중앙몰점</t>
  </si>
  <si>
    <t>보도블럭 보수</t>
  </si>
  <si>
    <t>남자화장실 대변기 보수</t>
  </si>
  <si>
    <t>매장 앞 보도블럭 보수</t>
  </si>
  <si>
    <t>은경제거 후 퍼티 샌딩 후 도장</t>
  </si>
  <si>
    <t>동대구역점</t>
  </si>
  <si>
    <t>등기구, 블라인드 보수</t>
  </si>
  <si>
    <t>지하 2층 비상문 바닥 보수</t>
  </si>
  <si>
    <t>전동어닝 천갈이</t>
  </si>
  <si>
    <t>유리 보수</t>
  </si>
  <si>
    <t>타일, 바닥전원선 보수</t>
  </si>
  <si>
    <t>링고벨 설치</t>
  </si>
  <si>
    <t>화장실 시건장치</t>
  </si>
  <si>
    <t>광교아브뉴프랑점</t>
  </si>
  <si>
    <t>전선매립 몰딩작업</t>
  </si>
  <si>
    <t>외부 셧터 보수</t>
  </si>
  <si>
    <t>시흥정왕2호점</t>
  </si>
  <si>
    <t>매립형 U형 볼라드 신규 설치</t>
  </si>
  <si>
    <t>카운터후면 아트월 간접등 보수</t>
  </si>
  <si>
    <t>외부 현수막 철거 및 주변 실리콘 바름</t>
  </si>
  <si>
    <t>외부 투광등 교체</t>
  </si>
  <si>
    <t>1층 외부 주차장 분전함 도어 교체</t>
  </si>
  <si>
    <t>슬라이딩 도어</t>
  </si>
  <si>
    <t>거제고현2호점</t>
  </si>
  <si>
    <t>등기구, 유도간판 보수</t>
  </si>
  <si>
    <t>세종법원로점</t>
  </si>
  <si>
    <t>주차장 차량스톱퍼 교체보수</t>
  </si>
  <si>
    <t>자동문 수리 요청</t>
  </si>
  <si>
    <t>4층 창고등 보수</t>
  </si>
  <si>
    <t>계량기 커버 교체 및 시선유도봉 설치</t>
  </si>
  <si>
    <t>제설 작업</t>
  </si>
  <si>
    <t>로고 간판 단선 요청</t>
  </si>
  <si>
    <t>승강기홀 버튼 주변 은경 교체보수</t>
  </si>
  <si>
    <t>매장시설 점검 및 보수</t>
  </si>
  <si>
    <t>화장실 소변기 점검 및 보수</t>
  </si>
  <si>
    <t>매장 천장텍스 교체</t>
  </si>
  <si>
    <t>계단실 난간 인조잔디 설치 및 주출입구 번호 제거</t>
  </si>
  <si>
    <t>속초미시령점</t>
  </si>
  <si>
    <t>피난유도등 설치</t>
  </si>
  <si>
    <t>화장실 도어락 설치</t>
  </si>
  <si>
    <t>당고개역점</t>
  </si>
  <si>
    <t>오픈클로즈 블라인드 신규교체</t>
  </si>
  <si>
    <t>매장 간판 점검 요청</t>
  </si>
  <si>
    <t>대구반월당(환승)역점</t>
  </si>
  <si>
    <t>양산북정점</t>
  </si>
  <si>
    <t>도농역점</t>
  </si>
  <si>
    <t>바닥 전원선 마감</t>
  </si>
  <si>
    <t>제주도남점</t>
  </si>
  <si>
    <t>매장 등기구 전열 점검 및 보수</t>
  </si>
  <si>
    <t>매장 등기구 교체 보수- 직원휴게실</t>
  </si>
  <si>
    <t>윌매트 보수</t>
  </si>
  <si>
    <t>카운터 전원선 매립공사</t>
  </si>
  <si>
    <t>매장 주출입구 세이프양계도어 고장</t>
  </si>
  <si>
    <t>양주회정동점</t>
  </si>
  <si>
    <t>상품입고 슬로프 보수</t>
  </si>
  <si>
    <t>간판 단선</t>
  </si>
  <si>
    <t>인천계양구청점</t>
  </si>
  <si>
    <t>매장내 등기구 교체보수</t>
  </si>
  <si>
    <t>매장 타일 보수</t>
  </si>
  <si>
    <t>세이프도어 잠금장치 보수</t>
  </si>
  <si>
    <t>매장 주출입구 자동문 및 천장텍스 교체</t>
  </si>
  <si>
    <t>천정 텍스 보수 및 등기구 교체보수</t>
  </si>
  <si>
    <t>화장실 도어락 점검 및 보수</t>
  </si>
  <si>
    <t>제주함덕점</t>
  </si>
  <si>
    <t>매장 옥상 피난문 보수</t>
  </si>
  <si>
    <t>계단 등기구 교체보수</t>
  </si>
  <si>
    <t>후문 방화문 스톱퍼 설치</t>
  </si>
  <si>
    <t>주출입구 점자블럭 보수</t>
  </si>
  <si>
    <t>창고 후문 슬로프 재조성</t>
  </si>
  <si>
    <t>평창횡계점</t>
  </si>
  <si>
    <t>매장 출입문 손잡이 보수</t>
  </si>
  <si>
    <t>세이프 도어 보수</t>
  </si>
  <si>
    <t>무안남악점</t>
  </si>
  <si>
    <t>매장 누수점검 및 등기구,텍스 교체</t>
  </si>
  <si>
    <t>주차장 카스톱퍼 교체보수</t>
  </si>
  <si>
    <t>볼라드 커버 교체보수</t>
  </si>
  <si>
    <t>블라인드 및 온수기 보수</t>
  </si>
  <si>
    <t>입구 전용 자동문 소음 보수</t>
  </si>
  <si>
    <t>천안구성점</t>
  </si>
  <si>
    <t>매장 시설물 유지보수</t>
  </si>
  <si>
    <t>링고벨, 사인물 보수</t>
  </si>
  <si>
    <t>매대 전등 전열 점검</t>
  </si>
  <si>
    <t>링고벨 어댑터 방식 변경에 따른 전열 신설</t>
  </si>
  <si>
    <t>1층 차단기 점검</t>
  </si>
  <si>
    <t>파지슈트 안전등 보수</t>
  </si>
  <si>
    <t>밀양상남점</t>
  </si>
  <si>
    <t>경계석 보수, 차단봉 설치</t>
  </si>
  <si>
    <t>김포운양역점</t>
  </si>
  <si>
    <t>점자블럭 보수</t>
  </si>
  <si>
    <t>누수점검</t>
  </si>
  <si>
    <t>산업용리프트 유압점검</t>
  </si>
  <si>
    <t>산업용리프트 문 보수 요청</t>
  </si>
  <si>
    <t>강릉율곡점</t>
  </si>
  <si>
    <t>주차시설물 보수</t>
  </si>
  <si>
    <t>카테고리간판 보수</t>
  </si>
  <si>
    <t>청주주중점</t>
  </si>
  <si>
    <t>분당효자촌점</t>
  </si>
  <si>
    <t>청주동남지구점</t>
  </si>
  <si>
    <t>매장 외부 세척_외벽 판넬 추가</t>
  </si>
  <si>
    <t>청주송정점</t>
  </si>
  <si>
    <t>원주단구2호점</t>
  </si>
  <si>
    <t>누전점검</t>
  </si>
  <si>
    <t>강화온수리점</t>
  </si>
  <si>
    <t>등기구, 슬라이딩 보수</t>
  </si>
  <si>
    <t>광주양산2호점</t>
  </si>
  <si>
    <t>대전구암점</t>
  </si>
  <si>
    <t>스타필드마켓동탄점</t>
  </si>
  <si>
    <t>셔터 보수</t>
  </si>
  <si>
    <t>제주삼양점</t>
  </si>
  <si>
    <t>삼천포점</t>
  </si>
  <si>
    <t>롯데몰은평점</t>
  </si>
  <si>
    <t>성대유통안산점</t>
  </si>
  <si>
    <t>홈플러스서수원점</t>
  </si>
  <si>
    <t>하나로클럽울산점</t>
  </si>
  <si>
    <t>홈플러스진접점</t>
  </si>
  <si>
    <t>롯데마트맥스상무점</t>
  </si>
  <si>
    <t>홈플러스유성점</t>
  </si>
  <si>
    <t>주출입구 스윙게이트 교체보수</t>
  </si>
  <si>
    <t>홈플러스동래점</t>
  </si>
  <si>
    <t>DID 전원 점검</t>
  </si>
  <si>
    <t>롯데마트맥스창원중앙점</t>
  </si>
  <si>
    <t>연출조명, 사다리보관함 보수</t>
  </si>
  <si>
    <t>이마트남양주점</t>
  </si>
  <si>
    <t>피난유도등 철거</t>
  </si>
  <si>
    <t>화물덤웨이터 승강장부품보수</t>
  </si>
  <si>
    <t>도어스토퍼 설치</t>
  </si>
  <si>
    <t>자동문 부품 교체</t>
  </si>
  <si>
    <t>용인구갈점</t>
  </si>
  <si>
    <t>출입문 부품 교체</t>
  </si>
  <si>
    <t>슬라이딩도어 조정수리</t>
  </si>
  <si>
    <t>유도등 신규 설치</t>
  </si>
  <si>
    <t>차단기 트립 복구</t>
  </si>
  <si>
    <t>소방감지기 교체</t>
  </si>
  <si>
    <t>자동문 롤러 및 모터 교체</t>
  </si>
  <si>
    <t>방화문 조정 수리</t>
  </si>
  <si>
    <t>데크 고정작업</t>
  </si>
  <si>
    <t>창고문 경첩 보수</t>
  </si>
  <si>
    <t>방화문 실린더 교체 외</t>
  </si>
  <si>
    <t>감지기 및 유도등 교체 외</t>
  </si>
  <si>
    <t>피난유도등 교체</t>
  </si>
  <si>
    <t>화장실 통수작업</t>
  </si>
  <si>
    <t>옥상 누수 간단보수</t>
  </si>
  <si>
    <t>주차 스토퍼 철거 및 마감</t>
  </si>
  <si>
    <t>지하주차장 등기구 교체</t>
  </si>
  <si>
    <t>화재감지기 교체</t>
  </si>
  <si>
    <t>출입문 조정수리 및 수도꼭지 교체</t>
  </si>
  <si>
    <t>어닝 모터 교체</t>
  </si>
  <si>
    <t>출입문 조정수리</t>
  </si>
  <si>
    <t>출입문 보수 및 손잡이 교체</t>
  </si>
  <si>
    <t>은경 및 출입문 보수</t>
  </si>
  <si>
    <t>자동문 컨트롤러 조정수리</t>
  </si>
  <si>
    <t>고양중산점</t>
  </si>
  <si>
    <t>타일 교체 작업</t>
  </si>
  <si>
    <t>자동문 롤러 교체</t>
  </si>
  <si>
    <t>피벗힌지 및 도어체크 교체</t>
  </si>
  <si>
    <t>신주커버 재고정</t>
  </si>
  <si>
    <t>먼지 청소 및 자동문 보수</t>
  </si>
  <si>
    <t>분전함 커버 보수</t>
  </si>
  <si>
    <t>볼라드 재고정 작업</t>
  </si>
  <si>
    <t>MCC판넬 보수 외</t>
  </si>
  <si>
    <t xml:space="preserve"> 버튼 외 교체작업 </t>
  </si>
  <si>
    <t>2026년 4월</t>
  </si>
  <si>
    <t>주출입구 바닥타일 및 등기구 교체</t>
  </si>
  <si>
    <t>매장 바닥전열 매립 및 타일 보수</t>
  </si>
  <si>
    <t>등기구 보수(추가)</t>
  </si>
  <si>
    <t>매장 블라인드 교체 및 설치</t>
  </si>
  <si>
    <t>타일 보수, 신주커버 고정</t>
  </si>
  <si>
    <t>창고 등기구 신설</t>
  </si>
  <si>
    <t>네임스티커 기기 전열 점검</t>
  </si>
  <si>
    <t>매장 및 계단 바닥타일 보수</t>
  </si>
  <si>
    <t>의정부회룡점</t>
  </si>
  <si>
    <t>내부계단 바닥타일 보수</t>
  </si>
  <si>
    <t>매장시설물 보수_추가</t>
  </si>
  <si>
    <t>수도 계량기함 개선공사</t>
  </si>
  <si>
    <t>논슬립 및 슬로프 보수</t>
  </si>
  <si>
    <t>매장출입구 보강 작업</t>
  </si>
  <si>
    <t>타일 및 등기구 교체</t>
  </si>
  <si>
    <t>매장바닥 신주커버 및 계단 타일 보수</t>
  </si>
  <si>
    <t>화장실 실린더 교체</t>
  </si>
  <si>
    <t>매장 내외부 계단 논슬립 보수</t>
  </si>
  <si>
    <t>텍스 , 등기구 교체</t>
  </si>
  <si>
    <t>매장 등기구 교체/보수</t>
  </si>
  <si>
    <t>등기구 보수, 외부 레일조명 분리, 피난유도등 보수</t>
  </si>
  <si>
    <t>매장입구 데크 보수</t>
  </si>
  <si>
    <t>누수점검 천장 물받이 체크</t>
  </si>
  <si>
    <t>의정부녹양점</t>
  </si>
  <si>
    <t>유인계산대 누전 점검</t>
  </si>
  <si>
    <t>이미지월 컬러유리 교체</t>
  </si>
  <si>
    <t>바닥전선 매립 및 등기구 교체</t>
  </si>
  <si>
    <t>CCTV모니터 철거</t>
  </si>
  <si>
    <t>매장 텍스 교체</t>
  </si>
  <si>
    <t>2층 천정 누수</t>
  </si>
  <si>
    <t>핸드레일 점검 및 보수</t>
  </si>
  <si>
    <t>칼라유리 보수</t>
  </si>
  <si>
    <t>주출입구 데크 보수</t>
  </si>
  <si>
    <t>외부 대리석 보수</t>
  </si>
  <si>
    <t>외부 논슬립 보수</t>
  </si>
  <si>
    <t>전동어닝 보수</t>
  </si>
  <si>
    <t>지하 1층 등기구 안켜짐</t>
  </si>
  <si>
    <t>천장 사인물 철거</t>
  </si>
  <si>
    <t>외부 콘센트 보수</t>
  </si>
  <si>
    <t>소방 보수</t>
  </si>
  <si>
    <t>옥수역점</t>
  </si>
  <si>
    <t>피난구 유도등 보수</t>
  </si>
  <si>
    <t>매장 주출입구 인도 블럭 보수</t>
  </si>
  <si>
    <t>먹골역점</t>
  </si>
  <si>
    <t>목포광장점</t>
  </si>
  <si>
    <t>매장 주출입구 핸드레일 신규 설치</t>
  </si>
  <si>
    <t>내부계단 등기구 탈락</t>
  </si>
  <si>
    <t>대구죽곡점</t>
  </si>
  <si>
    <t>슬로프, 등기구, 텍스 보수</t>
  </si>
  <si>
    <t>데크보수</t>
  </si>
  <si>
    <t>분전함 시건장치 보수</t>
  </si>
  <si>
    <t>천장텍스 교체</t>
  </si>
  <si>
    <t>매장 유지보수</t>
  </si>
  <si>
    <t>매장 주출입구 데크 부분보수</t>
  </si>
  <si>
    <t>남부터미널점</t>
  </si>
  <si>
    <t>화장실 수전, 환풍기 보수</t>
  </si>
  <si>
    <t>엠프 보수</t>
  </si>
  <si>
    <t>원주중앙시장점</t>
  </si>
  <si>
    <t>카운터 전원선 마감</t>
  </si>
  <si>
    <t>벽면 은경마감 보수</t>
  </si>
  <si>
    <t>매장 외부 핸드레일 신규 설치</t>
  </si>
  <si>
    <t>노후화 블라인드 2ea 교체</t>
  </si>
  <si>
    <t>텍스, 등기구, 타일 보수</t>
  </si>
  <si>
    <t>화장실 배수구 보수</t>
  </si>
  <si>
    <t>계단실 등기구 보수</t>
  </si>
  <si>
    <t>울산무거점</t>
  </si>
  <si>
    <t>자동문 시건장치 보수</t>
  </si>
  <si>
    <t>화장실 온수기 설치</t>
  </si>
  <si>
    <t>외대역점</t>
  </si>
  <si>
    <t>주차장 출입구 보수</t>
  </si>
  <si>
    <t>차임벨 보수</t>
  </si>
  <si>
    <t>1층 블라인드 및 콘센트 교체</t>
  </si>
  <si>
    <t>부산영도동삼점</t>
  </si>
  <si>
    <t>텍스 교체</t>
  </si>
  <si>
    <t>매장 등기구 및 스피커 보수</t>
  </si>
  <si>
    <t>정릉시장점</t>
  </si>
  <si>
    <t>등기구 및 타일 보수</t>
  </si>
  <si>
    <t>핸드레일 설치 및 매장 시설물 보수</t>
  </si>
  <si>
    <t>김제점</t>
  </si>
  <si>
    <t>매장주출입구 자동문 보수</t>
  </si>
  <si>
    <t>노원본점</t>
  </si>
  <si>
    <t>소제싱크 수전 교체</t>
  </si>
  <si>
    <t>전등 스위치 보수</t>
  </si>
  <si>
    <t>방화문 실린더 교체</t>
  </si>
  <si>
    <t>텍스, 등기구, 은경 몰딩, 전열 단선 후 신주커버 캡 설치</t>
  </si>
  <si>
    <t>조명 교체 견적 요청 건</t>
  </si>
  <si>
    <t>바닥 마감 보수</t>
  </si>
  <si>
    <t>익산영등점</t>
  </si>
  <si>
    <t>계단 핸드레일 및 운편함 교체</t>
  </si>
  <si>
    <t>피난계단 방화문 실린더 교체</t>
  </si>
  <si>
    <t>오목교점</t>
  </si>
  <si>
    <t>매장 바닥타일 및 천장텍스 보수</t>
  </si>
  <si>
    <t>빔프로젝트 설치</t>
  </si>
  <si>
    <t>셔터 스위치 박스 보수</t>
  </si>
  <si>
    <t>주차장 주차선 재도장</t>
  </si>
  <si>
    <t>2026년 리프트 1차 점검_보수 추가</t>
  </si>
  <si>
    <t>소방안전점검 보수 요청 건</t>
  </si>
  <si>
    <t>부산구서점</t>
  </si>
  <si>
    <t>1층 누수 점검</t>
  </si>
  <si>
    <t>위례본점</t>
  </si>
  <si>
    <t>등기구 보수 (추가)</t>
  </si>
  <si>
    <t>매장 바닥타일 및 신주커버 보수</t>
  </si>
  <si>
    <t>소방점검 간 보수</t>
  </si>
  <si>
    <t>지하 2층 누수</t>
  </si>
  <si>
    <t>건물 시설물 보수</t>
  </si>
  <si>
    <t>2026 2차 방역</t>
  </si>
  <si>
    <t>자동문 소음 점검 보수</t>
  </si>
  <si>
    <t>화물용리프트 보수</t>
  </si>
  <si>
    <t>매장 리프트 긴급 보수</t>
  </si>
  <si>
    <t>매장 화물용리프트 보수</t>
  </si>
  <si>
    <t>매장 리프트 미작동 보수</t>
  </si>
  <si>
    <t>내외부 세척</t>
  </si>
  <si>
    <t>매장 강화도어 손끼임방지 보수</t>
  </si>
  <si>
    <t>투광등 및 채널간판 미점등 보수</t>
  </si>
  <si>
    <t>장애인 화장실 보수</t>
  </si>
  <si>
    <t>1층 전기 점검</t>
  </si>
  <si>
    <t>스프링클러 보수</t>
  </si>
  <si>
    <t>누수점검 및 보수</t>
  </si>
  <si>
    <t>등기구 보수/보수</t>
  </si>
  <si>
    <t>매장외벽 보수</t>
  </si>
  <si>
    <t>냉난방기 점검</t>
  </si>
  <si>
    <t>대구진천점</t>
  </si>
  <si>
    <t>바닥 전원선 단선마감</t>
  </si>
  <si>
    <t>주차장 시설 보수</t>
  </si>
  <si>
    <t>리프트 미작동 점검</t>
  </si>
  <si>
    <t>평택소사벌지구점</t>
  </si>
  <si>
    <t>등기구 교체_추가</t>
  </si>
  <si>
    <t>2026 상반기 저수조 세척 작업</t>
  </si>
  <si>
    <t>등기구 추가 보수</t>
  </si>
  <si>
    <t>3층 수납코너 누수 점검</t>
  </si>
  <si>
    <t>차량진입로 바닥 부분보수</t>
  </si>
  <si>
    <t>바닥타일 및 등기구 교체</t>
  </si>
  <si>
    <t>소방 물탱크 밸브 보수</t>
  </si>
  <si>
    <t>2층 화장실 수도 밸브 누수</t>
  </si>
  <si>
    <t>출입구 바닥 보수</t>
  </si>
  <si>
    <t>휀스 신규 설치</t>
  </si>
  <si>
    <t>세이프강화도어 및 ABS도어 실린더 설치</t>
  </si>
  <si>
    <t>게이트 도장</t>
  </si>
  <si>
    <t>소방안전간리자 지적사항 보완 조치</t>
  </si>
  <si>
    <t>부산주례점</t>
  </si>
  <si>
    <t>옥상 배수구 보수</t>
  </si>
  <si>
    <t>매장내 피난유도등 보수</t>
  </si>
  <si>
    <t>외부 타일, 핸드레일 보수</t>
  </si>
  <si>
    <t>등기구, 세면대 배관 보수</t>
  </si>
  <si>
    <t>도어 손잡이 보수, 누수점검</t>
  </si>
  <si>
    <t>매장입구 바닥 마감 보수</t>
  </si>
  <si>
    <t>점자블록 보수</t>
  </si>
  <si>
    <t>바닥타일 및 신주커버 보수</t>
  </si>
  <si>
    <t>하차 문고리 탈락, 유인계산대 전선 노출, 슬로프 튀어나옴</t>
  </si>
  <si>
    <t>강화도어 손잡이 보수</t>
  </si>
  <si>
    <t>화장실 등기구 누전 복구</t>
  </si>
  <si>
    <t>잠실종합운동장역점</t>
  </si>
  <si>
    <t>연출 기둥 마감공사</t>
  </si>
  <si>
    <t>의정부역서부점</t>
  </si>
  <si>
    <t>소방시설 보수 요청</t>
  </si>
  <si>
    <t>매장 정전 누전 점검</t>
  </si>
  <si>
    <t>유리교체 및 어닝 탈부착 건</t>
  </si>
  <si>
    <t>계단 핸드레일 보수</t>
  </si>
  <si>
    <t>피난통로 문 보수</t>
  </si>
  <si>
    <t>계산대 전열 누전</t>
  </si>
  <si>
    <t>화물엘레베이터 점검 및 보수 요청의 건</t>
  </si>
  <si>
    <t>스파크 발생</t>
  </si>
  <si>
    <t>등기구, 카스토퍼 보수</t>
  </si>
  <si>
    <t>장애인 주차구역 바닥 표시</t>
  </si>
  <si>
    <t>강화본점</t>
  </si>
  <si>
    <t>시선유도봉 및 링고벨 보수</t>
  </si>
  <si>
    <t>매장 주차장 조명기구 설치</t>
  </si>
  <si>
    <t>바닥타일 및 등기구 보수</t>
  </si>
  <si>
    <t>3층 휴게실 전열 점검 및 보수</t>
  </si>
  <si>
    <t>4층 유도방수 철거 작업</t>
  </si>
  <si>
    <t>4층 천정 누수 점검</t>
  </si>
  <si>
    <t>피난유도등 및 등기구 교체</t>
  </si>
  <si>
    <t>화장실 등기구 교체</t>
  </si>
  <si>
    <t>외부 슬로프 핸드레일 보수</t>
  </si>
  <si>
    <t>화장실 세면기누수 보수</t>
  </si>
  <si>
    <t>주출입구 강화도어 및 피난유도등, 환풍기 보수</t>
  </si>
  <si>
    <t>바닥 노출전열 단선 작업</t>
  </si>
  <si>
    <t>청주분평2호점</t>
  </si>
  <si>
    <t>등기구 보수, 유도방수 철거</t>
  </si>
  <si>
    <t>미점등 등기구 , 파손 은경 교체</t>
  </si>
  <si>
    <t>외부 시설물 개선 공사_추가</t>
  </si>
  <si>
    <t>출구 방향 자동문 작동 소음</t>
  </si>
  <si>
    <t>외부 시설물 개선 공사</t>
  </si>
  <si>
    <t>철제형 환풍기 점검 및 보수</t>
  </si>
  <si>
    <t>등기구 보수, 환풍기 보수</t>
  </si>
  <si>
    <t>이산화탄소 소화설비함 보수</t>
  </si>
  <si>
    <t>내부 유리 교체</t>
  </si>
  <si>
    <t>승강기 앞 컬러유리 교체</t>
  </si>
  <si>
    <t>배수관 점검 및 보수</t>
  </si>
  <si>
    <t>자동문 상부 소리 점검</t>
  </si>
  <si>
    <t>텍스 및 환풍기 보수</t>
  </si>
  <si>
    <t>홤풍기 커버 보수</t>
  </si>
  <si>
    <t>주차라인 도색 및 스토퍼 보수</t>
  </si>
  <si>
    <t>아산탕정점</t>
  </si>
  <si>
    <t>바닥전열 매립공사 및 등기구 교체</t>
  </si>
  <si>
    <t>화재경보기 오작동으로 인한 점검 및 교체 보수</t>
  </si>
  <si>
    <t>수신반 점검 및 보수</t>
  </si>
  <si>
    <t>매장바닥타일 보수 및 화장실 시설물 보수</t>
  </si>
  <si>
    <t>등기구 회로 분리</t>
  </si>
  <si>
    <t>바닥전원 단선 마감</t>
  </si>
  <si>
    <t>3층 콘센트 보수</t>
  </si>
  <si>
    <t>어닝 세척</t>
  </si>
  <si>
    <t>텍스, 등기구 보수</t>
  </si>
  <si>
    <t>점자블록, 신주커버 보수</t>
  </si>
  <si>
    <t>다운라이트 교체</t>
  </si>
  <si>
    <t>평택세교점</t>
  </si>
  <si>
    <t>주출입구 하부 잠금키 보수</t>
  </si>
  <si>
    <t>카운터 바닥 신주커버 교체</t>
  </si>
  <si>
    <t>화장실 수도배관 보수</t>
  </si>
  <si>
    <t>자동문 소음 점검</t>
  </si>
  <si>
    <t>연출 구조물 이설</t>
  </si>
  <si>
    <t>1층 유리 파손 보수</t>
  </si>
  <si>
    <t>매장바닥타일 및 SUS커버 보수</t>
  </si>
  <si>
    <t>경차전용 주차구획 조성</t>
  </si>
  <si>
    <t>간판타이머 보수</t>
  </si>
  <si>
    <t>바닥타일 및 은경 보수</t>
  </si>
  <si>
    <t>휀스 및 텍스 보수, 조경 정리</t>
  </si>
  <si>
    <t>안동태화점</t>
  </si>
  <si>
    <t>헨드레일, 등기구 보수</t>
  </si>
  <si>
    <t>엠프 점검 및 보수</t>
  </si>
  <si>
    <t>내부계단 논슬립 보수</t>
  </si>
  <si>
    <t>전기 점검 요청</t>
  </si>
  <si>
    <t>내부계단 말단 논슬립 테이프 보수</t>
  </si>
  <si>
    <t>천정텍스, 카스토퍼 보수</t>
  </si>
  <si>
    <t>외부 간접등 보수</t>
  </si>
  <si>
    <t>미사용 바닥전열 단선 및 피난유도등 보수</t>
  </si>
  <si>
    <t>전면 현수막 제거 및 투광등 제거 후 단선 마감</t>
  </si>
  <si>
    <t>매장입구 계단으로 인한 안전사고 예방 조치</t>
  </si>
  <si>
    <t>스토퍼 보수</t>
  </si>
  <si>
    <t>계산대 뒷편 유리 파손으로 교체요청</t>
  </si>
  <si>
    <t>부산다대점</t>
  </si>
  <si>
    <t>종로본점</t>
  </si>
  <si>
    <t>창고 슬라이딩 도어 보수</t>
  </si>
  <si>
    <t>상일동역점</t>
  </si>
  <si>
    <t>등기구 교체 및 슬라이딩 도어 보수</t>
  </si>
  <si>
    <t>등기구 추가 교체</t>
  </si>
  <si>
    <t>안산본오동점</t>
  </si>
  <si>
    <t>외부 계단난간 보수</t>
  </si>
  <si>
    <t>청주사창점</t>
  </si>
  <si>
    <t>매장 등기구 및 석고텍스 교체</t>
  </si>
  <si>
    <t>외부 화장실 배관 점검</t>
  </si>
  <si>
    <t>주차라인 전체 도색</t>
  </si>
  <si>
    <t>소방 시각경보기 보수</t>
  </si>
  <si>
    <t>1층 창고 등기구 스위치 교체</t>
  </si>
  <si>
    <t>3층 시각경보기 보수</t>
  </si>
  <si>
    <t>차량 진입로 이동식 슬로프 교체</t>
  </si>
  <si>
    <t>주차장 등기구 및 주차안전시설 보수</t>
  </si>
  <si>
    <t>계단 등기구 탈락 보수</t>
  </si>
  <si>
    <t>광주광천점</t>
  </si>
  <si>
    <t>매장 등기구 및 링고벨 보수</t>
  </si>
  <si>
    <t>사무실 누수</t>
  </si>
  <si>
    <t>온풍기 설치</t>
  </si>
  <si>
    <t>비상안내방송 시스템 점검</t>
  </si>
  <si>
    <t>스프링클러 증설</t>
  </si>
  <si>
    <t>부산범천점</t>
  </si>
  <si>
    <t>광주삼각점</t>
  </si>
  <si>
    <t>주차장 바닥 안내선 도장</t>
  </si>
  <si>
    <t>소방 스프링클러 보수</t>
  </si>
  <si>
    <t>타일 교체 공사</t>
  </si>
  <si>
    <t>승강기 내부 보양재 설치 및 바닥 보양</t>
  </si>
  <si>
    <t>천정 마감재 보수</t>
  </si>
  <si>
    <t>시흥장현지구점</t>
  </si>
  <si>
    <t>사무실 출입문 보수</t>
  </si>
  <si>
    <t>외부 도장</t>
  </si>
  <si>
    <t>전열 신설 및 단선 마감</t>
  </si>
  <si>
    <t>전원선 단선 마감, 매장 등기구 보수</t>
  </si>
  <si>
    <t>채널간판 미점등 보수</t>
  </si>
  <si>
    <t>엔터식스강변점</t>
  </si>
  <si>
    <t>시각경보기 설치 작업</t>
  </si>
  <si>
    <t>제연커튼 파손 임시조치</t>
  </si>
  <si>
    <t>도난방지기 유지보수 요청의 건</t>
  </si>
  <si>
    <t>분전반 변경스위치 교체</t>
  </si>
  <si>
    <t>산업용리프트 정지 버튼 수리 요청</t>
  </si>
  <si>
    <t>주차장 등기구 및 카스톱퍼 교체</t>
  </si>
  <si>
    <t>주출입구 외부 핸드레일 보수</t>
  </si>
  <si>
    <t>매장 주출입구 양개도어 실린더 보수</t>
  </si>
  <si>
    <t>매장 바닥 배선 공사</t>
  </si>
  <si>
    <t>정읍시기점</t>
  </si>
  <si>
    <t>소방감지기 보수</t>
  </si>
  <si>
    <t>블라인드 고정 및 외부 핸드레일 고정 작업</t>
  </si>
  <si>
    <t>분전함 점검 및 교체 보수</t>
  </si>
  <si>
    <t>창원대방점</t>
  </si>
  <si>
    <t>강화도어, 슬라이딩 도어 보수</t>
  </si>
  <si>
    <t>주출입구 도어 점검 요청</t>
  </si>
  <si>
    <t>원주태장2호점</t>
  </si>
  <si>
    <t>창고, 사다리보관 도어 보수</t>
  </si>
  <si>
    <t>광양터미널점</t>
  </si>
  <si>
    <t>시흥신천2호점</t>
  </si>
  <si>
    <t>주출입구 자동문 점검</t>
  </si>
  <si>
    <t>외부 데크 부분 보수</t>
  </si>
  <si>
    <t>2층 문고리 보수</t>
  </si>
  <si>
    <t>방화문 실린더 노후</t>
  </si>
  <si>
    <t>소방점검간 지적사항 개선</t>
  </si>
  <si>
    <t>모다아울렛구리남양주점</t>
  </si>
  <si>
    <t>자동문 손보호대 보수</t>
  </si>
  <si>
    <t>롯데마트웅상점</t>
  </si>
  <si>
    <t>홈플러스간석점</t>
  </si>
  <si>
    <t>사다리보관함 보수</t>
  </si>
  <si>
    <t>빅마켓광주점</t>
  </si>
  <si>
    <t>스프링클러 누수 및 천정등 미점등</t>
  </si>
  <si>
    <t>등기구 교체 및 바닥타일 보수</t>
  </si>
  <si>
    <t>홈플러스연수점</t>
  </si>
  <si>
    <t>홈플러스고양터미널점</t>
  </si>
  <si>
    <t>홈플러스야탑점</t>
  </si>
  <si>
    <t>3층 피난유도등 교체</t>
  </si>
  <si>
    <t>AK플라자광명점</t>
  </si>
  <si>
    <t>DID 어댑터 교체 작업</t>
  </si>
  <si>
    <t>소방시설 보수공사 및 작동점검</t>
  </si>
  <si>
    <t>데크 프레임 보수</t>
  </si>
  <si>
    <t>구로시장점</t>
  </si>
  <si>
    <t>앰프 조정수리</t>
  </si>
  <si>
    <t>신주커버 고정 작업</t>
  </si>
  <si>
    <t>등기구 교체 외</t>
  </si>
  <si>
    <t>소방 누수 보수</t>
  </si>
  <si>
    <t>대분류 철거 및 텍스 교체</t>
  </si>
  <si>
    <t>차단기 교체</t>
  </si>
  <si>
    <t>전동 어닝 모터 교체</t>
  </si>
  <si>
    <t>힌지 조정수리</t>
  </si>
  <si>
    <t>보조키 교체</t>
  </si>
  <si>
    <t>파손 데크 보수</t>
  </si>
  <si>
    <t>화장실 도어 손잡이 교체 외</t>
  </si>
  <si>
    <t>환풍기 커버 부착 외</t>
  </si>
  <si>
    <t>셔터 조정수리</t>
  </si>
  <si>
    <t>전선 단선 조치</t>
  </si>
  <si>
    <t>실린더 교체</t>
  </si>
  <si>
    <t>데크 간단보수</t>
  </si>
  <si>
    <t>도어크로져 교체</t>
  </si>
  <si>
    <t>스윙게이트 용접 보수</t>
  </si>
  <si>
    <t>도어락 교체</t>
  </si>
  <si>
    <t>자동문 레일 보수</t>
  </si>
  <si>
    <t>슬로프 간단보수</t>
  </si>
  <si>
    <t>자동문 경보음 조정수리</t>
  </si>
  <si>
    <t>피난구유도등 교체</t>
  </si>
  <si>
    <t>보라매점</t>
  </si>
  <si>
    <t>슬로프 날개 설치</t>
  </si>
  <si>
    <t>등기구 교체/보수</t>
  </si>
  <si>
    <t>도어 하부힌지 재고정</t>
  </si>
  <si>
    <t>양변기 부속 교체</t>
  </si>
  <si>
    <t>수신반 및 물탱크 점검</t>
  </si>
  <si>
    <t>자동문 센서 교체</t>
  </si>
  <si>
    <t>누전점검 및 등기구 교체/보수</t>
  </si>
  <si>
    <t>강화도어 하부 잠금장치 교체</t>
  </si>
  <si>
    <t>수위조절기 위치 조정</t>
  </si>
  <si>
    <t>도어 실린더 교체</t>
  </si>
  <si>
    <t>도어 부품 교체</t>
  </si>
  <si>
    <t>손잡이 교체</t>
  </si>
  <si>
    <t>소변기 세척 벨브 교체</t>
  </si>
  <si>
    <t>남동탄점</t>
  </si>
  <si>
    <t>디지털 도어락 교체</t>
  </si>
  <si>
    <t>신주커버 교체 외</t>
  </si>
  <si>
    <t>메인배관 통수</t>
  </si>
  <si>
    <t>자동문 손보호대 교체 외</t>
  </si>
  <si>
    <t>가벽 및 도어 보수</t>
  </si>
  <si>
    <t>차단기 이중결선 분리 조치</t>
  </si>
  <si>
    <t>소방점검 지적사항 조치</t>
  </si>
  <si>
    <t>볼탑 및 드레인배관 교체</t>
  </si>
  <si>
    <t>텍스 구멍 메꿈보수</t>
  </si>
  <si>
    <t>강화도어 힌지 재고정</t>
  </si>
  <si>
    <t>양변기 통수</t>
  </si>
  <si>
    <t>전선 몰딩 교체</t>
  </si>
  <si>
    <t>코너보호대 설치</t>
  </si>
  <si>
    <t>자동문 조정 수리</t>
  </si>
  <si>
    <t>논슬립 재부착</t>
  </si>
  <si>
    <t>양변기 부속 조정수리</t>
  </si>
  <si>
    <t>고양화정2호점</t>
  </si>
  <si>
    <t>점자블럭 철거 마감보수</t>
  </si>
  <si>
    <t>형광등 및 롤러 교체</t>
  </si>
  <si>
    <t>이천부발점</t>
  </si>
  <si>
    <t>도어크로져 및 등기구 교체/보수</t>
  </si>
  <si>
    <t>누전 복구 조치</t>
  </si>
  <si>
    <t>SMPS 교체 외</t>
  </si>
  <si>
    <t>유리교체 및 불투명시트 작업</t>
  </si>
  <si>
    <t>확산소화기 고정 작업 외 전기 보수</t>
  </si>
  <si>
    <t>파손 도어 보양조치</t>
  </si>
  <si>
    <t>경기광주태전점</t>
  </si>
  <si>
    <t>홈플러스영통점</t>
  </si>
  <si>
    <t>롯데마트의왕점</t>
  </si>
  <si>
    <t>레일 고정 작업</t>
  </si>
  <si>
    <t>홈플러스송도점</t>
  </si>
  <si>
    <t>EM락 교체</t>
  </si>
  <si>
    <t>이마트트레이더스구월점</t>
  </si>
  <si>
    <t>에어컨 간선공사</t>
  </si>
  <si>
    <t>2026년 5월</t>
  </si>
  <si>
    <t>주출입구 이원화공사</t>
  </si>
  <si>
    <t>도장 보수</t>
  </si>
  <si>
    <t>멀티빔 교체</t>
  </si>
  <si>
    <t>매장 바닥타일 및 피난방화문 보수</t>
  </si>
  <si>
    <t>매장 내부기둥 은경마감면 보수</t>
  </si>
  <si>
    <t>분전함 보수</t>
  </si>
  <si>
    <t>계단실 은경 청소</t>
  </si>
  <si>
    <t>기둥 마감 공사</t>
  </si>
  <si>
    <t>전화번호 스카시 제거</t>
  </si>
  <si>
    <t>매장시설 보수</t>
  </si>
  <si>
    <t>비상조명 보수</t>
  </si>
  <si>
    <t>목동역점</t>
  </si>
  <si>
    <t>차단기 보수</t>
  </si>
  <si>
    <t>간판 누전점검 및 복구</t>
  </si>
  <si>
    <t>주출입구 암막블라인드 신규 설치</t>
  </si>
  <si>
    <t>전등 스위치, 도어 보수</t>
  </si>
  <si>
    <t>내, 외부 세척</t>
  </si>
  <si>
    <t>계단 보수 공사_판넬 교체 공사 포함_추가</t>
  </si>
  <si>
    <t>텍스 및 등기구 교체</t>
  </si>
  <si>
    <t>계단 보수 공사, 판넬 벽체 신규교체</t>
  </si>
  <si>
    <t>간판 유리 보수</t>
  </si>
  <si>
    <t>내부 검침용 수도계량기 교체</t>
  </si>
  <si>
    <t>바닥 전원선 매립 공사</t>
  </si>
  <si>
    <t>매장 주출입구 계단 핸드레일 보수</t>
  </si>
  <si>
    <t>어닝 천 교체 및 레드게이트 세척</t>
  </si>
  <si>
    <t>대전오류점</t>
  </si>
  <si>
    <t>옥외광고물 배선 점검 및 보수</t>
  </si>
  <si>
    <t>등기구 및 천장텍스 교체</t>
  </si>
  <si>
    <t>타일보수_추가</t>
  </si>
  <si>
    <t>매장 등기구 및 환풍기 보수</t>
  </si>
  <si>
    <t>외부 투광등 보수 견적</t>
  </si>
  <si>
    <t>화재수신반 점검</t>
  </si>
  <si>
    <t>등기구, 외부 마감 보수</t>
  </si>
  <si>
    <t>외부 슬로프 신규교체</t>
  </si>
  <si>
    <t>바구니카트 폐기 신청</t>
  </si>
  <si>
    <t>익산모현점</t>
  </si>
  <si>
    <t>주출입구 자동문, 바닥타일, 등기구 보수</t>
  </si>
  <si>
    <t>매장 누수복구 및 텍스, 환풍기 보수</t>
  </si>
  <si>
    <t>자동문 H바 보수</t>
  </si>
  <si>
    <t>스위치 및 누전 점검</t>
  </si>
  <si>
    <t>사틴유리 교체</t>
  </si>
  <si>
    <t>외부데크 부분 보수</t>
  </si>
  <si>
    <t>석촌점</t>
  </si>
  <si>
    <t>광주수완점</t>
  </si>
  <si>
    <t>미사용 바닥전열 단선 및 등기구 신규 설치</t>
  </si>
  <si>
    <t>타일, 매장시설물 보수</t>
  </si>
  <si>
    <t>난곡사거리점</t>
  </si>
  <si>
    <t>환풍기, 등기구, 블라인드 보수</t>
  </si>
  <si>
    <t>외부 계단 보수</t>
  </si>
  <si>
    <t>계단실 불투명 시트 시공_연계</t>
  </si>
  <si>
    <t>출입문 바닥 보수</t>
  </si>
  <si>
    <t>내부계단실 세척 및 카운터 컬러유리 교체</t>
  </si>
  <si>
    <t>내부계단 은경 및 화장실 큐비클 보수</t>
  </si>
  <si>
    <t>도어 실린더 보수</t>
  </si>
  <si>
    <t>미사용 바닥전열 철거 및 바닥타일 보수</t>
  </si>
  <si>
    <t>사무실 선반 보수</t>
  </si>
  <si>
    <t>타일, 신주커버 보수</t>
  </si>
  <si>
    <t>환풍기 및 디퓨저 작동점검</t>
  </si>
  <si>
    <t>매장 자동문 유리 파손 보수</t>
  </si>
  <si>
    <t>리프트 미작동 보수</t>
  </si>
  <si>
    <t>출입구 계단 보수 공사</t>
  </si>
  <si>
    <t>은경 및 천장텍스 교체</t>
  </si>
  <si>
    <t>임대인측 전기안전관리자 지적사항 보완 조치</t>
  </si>
  <si>
    <t>매장 등기구 및 피난유도등 교체, 환풍기 보수</t>
  </si>
  <si>
    <t>매장 바닥타일 및 등기구 교체</t>
  </si>
  <si>
    <t>셀프계산대 누전</t>
  </si>
  <si>
    <t>전선 몰딩</t>
  </si>
  <si>
    <t>환풍기 보수 및 텍스 보수</t>
  </si>
  <si>
    <t>은경 보수 및 세척, 블라인드 보수</t>
  </si>
  <si>
    <t>사인물 제거 작업</t>
  </si>
  <si>
    <t>주차장 보도블럭 및 매장 등기구 교체</t>
  </si>
  <si>
    <t>어닝 천갈이 및 보수</t>
  </si>
  <si>
    <t>펜스 제거 요청</t>
  </si>
  <si>
    <t>외부테크 공사</t>
  </si>
  <si>
    <t>신촌본점</t>
  </si>
  <si>
    <t>천장 석고텍스 교체</t>
  </si>
  <si>
    <t>계산대 차단기 누전 점검</t>
  </si>
  <si>
    <t>내부계단 은경 보수</t>
  </si>
  <si>
    <t>구포구남점</t>
  </si>
  <si>
    <t>변기커버 보수</t>
  </si>
  <si>
    <t>계단실 은경 철거 후 도장</t>
  </si>
  <si>
    <t>매장내 블라인드 보수</t>
  </si>
  <si>
    <t>매장 한풍기 커버 보수</t>
  </si>
  <si>
    <t>내부계단 포세린 타일 보수</t>
  </si>
  <si>
    <t>은경 철거 후 도장, 사인물 제거 및 부착</t>
  </si>
  <si>
    <t>의정부2호점</t>
  </si>
  <si>
    <t>매장내 환풍기 커버 설치</t>
  </si>
  <si>
    <t>포세린 타일 및 매장 시설물 보수</t>
  </si>
  <si>
    <t>정화조 펌프 고장</t>
  </si>
  <si>
    <t>지하실 배전함 차단기 보수</t>
  </si>
  <si>
    <t>주출입구 자동문 보수 및 주차장 코너 투광등 교체</t>
  </si>
  <si>
    <t>선릉점</t>
  </si>
  <si>
    <t>타일, 계단 논슬립 보수</t>
  </si>
  <si>
    <t>주차장 바닥 아스콘 보수</t>
  </si>
  <si>
    <t>매장내 화물용리프트 보수</t>
  </si>
  <si>
    <t>주차장 카스톱퍼 및 판넬 하부 플레이트 보수</t>
  </si>
  <si>
    <t>단선 및 신주커버 교체요청</t>
  </si>
  <si>
    <t>일부 파손된 벽면마감 보수</t>
  </si>
  <si>
    <t>바닥 전원선 보수</t>
  </si>
  <si>
    <t>매장 바닥타일 세척</t>
  </si>
  <si>
    <t>대전가수원점</t>
  </si>
  <si>
    <t>매장 바닥타일 추가 보수</t>
  </si>
  <si>
    <t>주차장 스토퍼 나사탈락 보수 요청</t>
  </si>
  <si>
    <t>4층 사무실 방화도어 클로저 보수</t>
  </si>
  <si>
    <t>청주본점</t>
  </si>
  <si>
    <t>매장 외부유리 보수</t>
  </si>
  <si>
    <t>에스컬레이터 바닥 논슬립 테이프 부착</t>
  </si>
  <si>
    <t>액체세제 코너 링고벨 설치</t>
  </si>
  <si>
    <t>점자블록 시공</t>
  </si>
  <si>
    <t>창고 천장텍스 보수</t>
  </si>
  <si>
    <t>주차장 시설물 보수 및 카스톱퍼 설치</t>
  </si>
  <si>
    <t>소방보수공사</t>
  </si>
  <si>
    <t>주출입구 장애인슬로프 핸드레일 보수</t>
  </si>
  <si>
    <t>화장실 위생도기 점검 및 보수</t>
  </si>
  <si>
    <t>천정 중분류 철거</t>
  </si>
  <si>
    <t>3층 누수 점검</t>
  </si>
  <si>
    <t>부천상동역점</t>
  </si>
  <si>
    <t>세면대 하부장 보수</t>
  </si>
  <si>
    <t>매장내 시설물 보수</t>
  </si>
  <si>
    <t>3층 고객 화장실 수전 보수</t>
  </si>
  <si>
    <t>경계석 들뜸 보수</t>
  </si>
  <si>
    <t>자바라 도어 교체</t>
  </si>
  <si>
    <t>환풍기 및 텍스 교체</t>
  </si>
  <si>
    <t>냉장고 전원 보수</t>
  </si>
  <si>
    <t>타일, 카스토퍼, 등기구 보수</t>
  </si>
  <si>
    <t>양산물금2호점</t>
  </si>
  <si>
    <t>자동문 유지보수</t>
  </si>
  <si>
    <t>불투명 시트 부착 건_연계</t>
  </si>
  <si>
    <t>방화문, 피난유도등 보수</t>
  </si>
  <si>
    <t>주차장 기둥 보호대 설치</t>
  </si>
  <si>
    <t>금산2호점</t>
  </si>
  <si>
    <t>의정부민락점</t>
  </si>
  <si>
    <t>주출입구 계단 마구리면 보수</t>
  </si>
  <si>
    <t>2층 창고 누전 점검</t>
  </si>
  <si>
    <t>에어커튼 점검 요청</t>
  </si>
  <si>
    <t>유인계산대 바닥 전원선 매립</t>
  </si>
  <si>
    <t>노트평대 상단 연출 철거</t>
  </si>
  <si>
    <t>매장내 P형수신반 보수</t>
  </si>
  <si>
    <t>세면대, 소변기 보수</t>
  </si>
  <si>
    <t>매장 주출입구 자동문 고장</t>
  </si>
  <si>
    <t>피난유도등 보수 및 등기구 보수</t>
  </si>
  <si>
    <t>대구수성구청역점</t>
  </si>
  <si>
    <t>주출입구 슬로프 및 양변기 보수</t>
  </si>
  <si>
    <t>자동문 전원스위치 이설</t>
  </si>
  <si>
    <t>외부 유리 교체</t>
  </si>
  <si>
    <t>간판 백판 백색시트 부착 및 레드게이트 도장</t>
  </si>
  <si>
    <t>주차장 바닥 물고임건</t>
  </si>
  <si>
    <t>장애인 주차표지 보수</t>
  </si>
  <si>
    <t>전원선 보수</t>
  </si>
  <si>
    <t>윈도우 시트지 부착</t>
  </si>
  <si>
    <t>기동 마감 보수</t>
  </si>
  <si>
    <t>매장내 환풍기 및 등기구 교체</t>
  </si>
  <si>
    <t>매장내 도어락 교체</t>
  </si>
  <si>
    <t>도곡점</t>
  </si>
  <si>
    <t>내장 등기구 교체</t>
  </si>
  <si>
    <t>매장 주출입구 하부 문턱 보수</t>
  </si>
  <si>
    <t>1층 계단하부 창고 등기구 교체</t>
  </si>
  <si>
    <t>천호본점</t>
  </si>
  <si>
    <t>매장 내 논슬립 보수</t>
  </si>
  <si>
    <t>천정형 그릴 설치</t>
  </si>
  <si>
    <t>매장 주출입구 전동어닝 천 부분 보수</t>
  </si>
  <si>
    <t>자동문 센서 이상여부 점검 요청</t>
  </si>
  <si>
    <t>2층 등기구 안들어옴</t>
  </si>
  <si>
    <t>복도 곰팡이제거 및 도장 보수</t>
  </si>
  <si>
    <t>오수멘홀 교체</t>
  </si>
  <si>
    <t>계단대 전기 점검</t>
  </si>
  <si>
    <t>타일, 슬로프 보수</t>
  </si>
  <si>
    <t>매장 등기구 및 은경 보수</t>
  </si>
  <si>
    <t>장애인 화장실 큐비클 보수</t>
  </si>
  <si>
    <t>화장실 도어클로저 및 점자블럭 보수</t>
  </si>
  <si>
    <t>정화조 환기 팬 전원 점검 및 보수</t>
  </si>
  <si>
    <t>창고 등기구 누전 복구</t>
  </si>
  <si>
    <t>용인동천점</t>
  </si>
  <si>
    <t>외부 데크계단 보수</t>
  </si>
  <si>
    <t>전자식 타이머 재설정</t>
  </si>
  <si>
    <t>염화칼슘 재고 보충</t>
  </si>
  <si>
    <t>주출입구 장애인 보도블럭 보수</t>
  </si>
  <si>
    <t>콘센트 및 누전 점검</t>
  </si>
  <si>
    <t>매장 전열 복구</t>
  </si>
  <si>
    <t>신주커버 및 누수점검</t>
  </si>
  <si>
    <t>슬라이딩도어 보수</t>
  </si>
  <si>
    <t>주차장 U형볼라드 보수</t>
  </si>
  <si>
    <t>매장바닥 데코타일 교체</t>
  </si>
  <si>
    <t>1층 주차장 포충기 제거</t>
  </si>
  <si>
    <t>어닝 신규설치</t>
  </si>
  <si>
    <t>핸드레일, 기둥 재료분리대 보수</t>
  </si>
  <si>
    <t>부산괴정점</t>
  </si>
  <si>
    <t>문손잡이 보수</t>
  </si>
  <si>
    <t>익산부송점</t>
  </si>
  <si>
    <t>매장 화장실 대변기 보수</t>
  </si>
  <si>
    <t>부산센텀시티점</t>
  </si>
  <si>
    <t>계단 벽면 누수</t>
  </si>
  <si>
    <t>등기구, 강화도어 보수</t>
  </si>
  <si>
    <t>정기점검 지적사항 보완 조치</t>
  </si>
  <si>
    <t>외부유리 파손보수</t>
  </si>
  <si>
    <t>미사용 바닥 전열 단선 및 바닥 단차 보수</t>
  </si>
  <si>
    <t>주차장 U형 볼라드 보수</t>
  </si>
  <si>
    <t>외부 주차장 바닥 누수 탐지</t>
  </si>
  <si>
    <t>피난방화문 보수 및 주출입구 자동문 하부 잠금키 보수</t>
  </si>
  <si>
    <t>한티역점</t>
  </si>
  <si>
    <t>외부 화장실 배관 보수</t>
  </si>
  <si>
    <t>주차장 볼라드 설치</t>
  </si>
  <si>
    <t>대전관평점</t>
  </si>
  <si>
    <t>매장내 턴게이트 및 등기구 보수</t>
  </si>
  <si>
    <t>매장 주출입구 자동문 센서이상/센서점검</t>
  </si>
  <si>
    <t>카운터 바닥전열 보수</t>
  </si>
  <si>
    <t>매장내 링고벨 보수</t>
  </si>
  <si>
    <t>레드게이트 간접등 교체</t>
  </si>
  <si>
    <t>장애인주차장 안내표지판 보수</t>
  </si>
  <si>
    <t>주차장 카스토퍼 보수</t>
  </si>
  <si>
    <t>분당이매점</t>
  </si>
  <si>
    <t>고강도 트렌치 보수</t>
  </si>
  <si>
    <t>일원역점</t>
  </si>
  <si>
    <t>화장실 도어락 보수</t>
  </si>
  <si>
    <t>대구중앙로점</t>
  </si>
  <si>
    <t>주차장 카스톱퍼 교체</t>
  </si>
  <si>
    <t>미사용 바닥전열 단선 및 천장 석고텍스 보수</t>
  </si>
  <si>
    <t>매장 수도배관 누수 보수</t>
  </si>
  <si>
    <t>주차장 카스톱퍼 및 화장실 소변기 보수</t>
  </si>
  <si>
    <t>매장 외부 주차장 천장텍스 탈락</t>
  </si>
  <si>
    <t>남양주장현점</t>
  </si>
  <si>
    <t>화장실 잠금장치 보수</t>
  </si>
  <si>
    <t>매장 바닥전열 매립</t>
  </si>
  <si>
    <t>도난방지기 철거</t>
  </si>
  <si>
    <t>외부세척</t>
  </si>
  <si>
    <t>승강기 홀 벽면 사틴유리 교체</t>
  </si>
  <si>
    <t>김제서암점</t>
  </si>
  <si>
    <t>렉산 보수</t>
  </si>
  <si>
    <t>누수 점검 , 피난유도등 보수</t>
  </si>
  <si>
    <t>스프레이 건 보수</t>
  </si>
  <si>
    <t>계산대 타일, 카스톱퍼 및 등기구 교체</t>
  </si>
  <si>
    <t>전원선 신규포설, 단선</t>
  </si>
  <si>
    <t>냉난방기점검 요청</t>
  </si>
  <si>
    <t>매장 바닥타일 및 텍스. 등기구 교체</t>
  </si>
  <si>
    <t>방화문 파손</t>
  </si>
  <si>
    <t>진천점</t>
  </si>
  <si>
    <t>1층 윈도우 구간 누수 점검 요청</t>
  </si>
  <si>
    <t>안내판 철거, 경계석 보수</t>
  </si>
  <si>
    <t>화장실 수전 및 도어실린더 교체</t>
  </si>
  <si>
    <t>매장 조명등 수리 요청</t>
  </si>
  <si>
    <t>대치역사거리점</t>
  </si>
  <si>
    <t>분전함 차단기 보수</t>
  </si>
  <si>
    <t>계단 알루미늄 논슬립 보수</t>
  </si>
  <si>
    <t>계산대 바닥전열 매립 공사</t>
  </si>
  <si>
    <t>어닝천 부분보수</t>
  </si>
  <si>
    <t>슬라이딩도어 댐퍼 파손 보수</t>
  </si>
  <si>
    <t>등기구 및 카트거치대, 슬라이딩 도어 보수</t>
  </si>
  <si>
    <t>창녕점</t>
  </si>
  <si>
    <t>대구대실역점</t>
  </si>
  <si>
    <t>동두천상패점</t>
  </si>
  <si>
    <t>서귀포모슬포점</t>
  </si>
  <si>
    <t>광주신창2호점</t>
  </si>
  <si>
    <t>화장실 변기 물탱크 부품 보수</t>
  </si>
  <si>
    <t>홈플러스삼척점</t>
  </si>
  <si>
    <t>탑마트삼천포점</t>
  </si>
  <si>
    <t>하나로마트부산(화명)점</t>
  </si>
  <si>
    <t>롯데마트안성점</t>
  </si>
  <si>
    <t>등기구 복구 작업</t>
  </si>
  <si>
    <t>홈플러스칠곡점</t>
  </si>
  <si>
    <t>간판 점검</t>
  </si>
  <si>
    <t>홈플러스청주점</t>
  </si>
  <si>
    <t>홈플러스강동점</t>
  </si>
  <si>
    <t>피난유도등, 등기구 보수</t>
  </si>
  <si>
    <t>홈플러스신내점</t>
  </si>
  <si>
    <t>커넥트현대부산점</t>
  </si>
  <si>
    <t>홈플러스김해점</t>
  </si>
  <si>
    <t>화재조사 및 소방시설등 정밀점검 보고서 작성</t>
  </si>
  <si>
    <t>환풍기 교체</t>
  </si>
  <si>
    <t>시트지 부착</t>
  </si>
  <si>
    <t>조정 수리</t>
  </si>
  <si>
    <t>프레임 코킹</t>
  </si>
  <si>
    <t>어닝 프레임 및 모터 보수</t>
  </si>
  <si>
    <t>출입문 조정 수리</t>
  </si>
  <si>
    <t>핸드레일 용접 보수</t>
  </si>
  <si>
    <t>피난유도등 조정 수리 및 교체</t>
  </si>
  <si>
    <t>감지기 교체</t>
  </si>
  <si>
    <t>스토퍼 보수 외</t>
  </si>
  <si>
    <t>하부이탈방지기 설치</t>
  </si>
  <si>
    <t>SMPS 교체</t>
  </si>
  <si>
    <t>누설 점검</t>
  </si>
  <si>
    <t>조명 교체 및 누수점검</t>
  </si>
  <si>
    <t>자동문 조정수리</t>
  </si>
  <si>
    <t>피난유도등 설치 외</t>
  </si>
  <si>
    <t>은경 철거 및 마감작업</t>
  </si>
  <si>
    <t>슬로프 재고정</t>
  </si>
  <si>
    <t>하부이탈방지기 교체</t>
  </si>
  <si>
    <t>자동문 작동 설명</t>
  </si>
  <si>
    <t>강화도어 간격 조정</t>
  </si>
  <si>
    <t>콘센트 철거 및 마감</t>
  </si>
  <si>
    <t>스위치 교체</t>
  </si>
  <si>
    <t>등기구 교체 및 누전점검</t>
  </si>
  <si>
    <t>전자접촉기 교체</t>
  </si>
  <si>
    <t>문 고정보수</t>
  </si>
  <si>
    <t>신주커버 교체</t>
  </si>
  <si>
    <t>분전함 조정 수리</t>
  </si>
  <si>
    <t>누수 처리 후 분전함 복구</t>
  </si>
  <si>
    <t>긴급 누수점검</t>
  </si>
  <si>
    <t>상부 센서 교체</t>
  </si>
  <si>
    <t>등기구 재고정</t>
  </si>
  <si>
    <t>H바 교체</t>
  </si>
  <si>
    <t>슬로프 손잡이 용접보수</t>
  </si>
  <si>
    <t>차동식 연기감지기 설치 완료</t>
  </si>
  <si>
    <t>힌지 교체</t>
  </si>
  <si>
    <t>마이크 조정 보수</t>
  </si>
  <si>
    <t>애칭시트 부착</t>
  </si>
  <si>
    <t>콘센트 조정수리</t>
  </si>
  <si>
    <t>미사용 전선 제거 외</t>
  </si>
  <si>
    <t>광교상현역점</t>
  </si>
  <si>
    <t>간판 타이머 교체</t>
  </si>
  <si>
    <t>차단봉 철거</t>
  </si>
  <si>
    <t>블라인드 재고정</t>
  </si>
  <si>
    <t>타이머 교체</t>
  </si>
  <si>
    <t>스텐 용접보수</t>
  </si>
  <si>
    <t>출입문 레일 재고정</t>
  </si>
  <si>
    <t>도어클로져 교체</t>
  </si>
  <si>
    <t>도난감지기 회로분리</t>
  </si>
  <si>
    <t>통수 작업</t>
  </si>
  <si>
    <t>유도방수</t>
  </si>
  <si>
    <t>출입문 조정</t>
  </si>
  <si>
    <t>선반 이동 고정</t>
  </si>
  <si>
    <t>도어핸들 교체 외</t>
  </si>
  <si>
    <t>퍼블릭가산점</t>
  </si>
  <si>
    <t>데코타일 교체</t>
  </si>
  <si>
    <t>텍스 교체 외</t>
  </si>
  <si>
    <t>NC신구로점</t>
  </si>
  <si>
    <t>스텐판 부착</t>
  </si>
  <si>
    <t>레일 프레임 고정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</si>
</sst>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_-;_-@_-"/>
    <numFmt numFmtId="165" formatCode="0&quot;월&quot;"/>
    <numFmt numFmtId="166" formatCode="yyyy&quot;년&quot;\ m&quot;월&quot;;@"/>
    <numFmt numFmtId="167" formatCode="#,##0_ "/>
    <numFmt numFmtId="168" formatCode="0.0%"/>
    <numFmt numFmtId="169" formatCode="_(* #,##0_);_(* \(#,##0\);_(* &quot;-&quot;??_);_(@_)"/>
  </numFmts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2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indexed="13"/>
      <name val="Arial"/>
      <family val="2"/>
    </font>
    <font>
      <sz val="11"/>
      <color theme="1" tint="0.499984740745262"/>
      <name val="맑은 고딕"/>
      <family val="2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rgb="FF555555"/>
      <name val="Arial"/>
      <family val="2"/>
    </font>
    <font>
      <sz val="11"/>
      <color rgb="FF555555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2">
    <xf numFmtId="0" fontId="0" fillId="0" borderId="0">
      <alignment vertical="center"/>
    </xf>
    <xf numFmtId="164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5" fillId="0" borderId="0"/>
    <xf numFmtId="164" fontId="8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7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38" fontId="0" fillId="0" borderId="7" xfId="0" applyNumberFormat="1" applyBorder="1">
      <alignment vertical="center"/>
    </xf>
    <xf numFmtId="0" fontId="0" fillId="0" borderId="0" xfId="0" applyAlignment="1">
      <alignment vertical="center" wrapText="1"/>
    </xf>
    <xf numFmtId="38" fontId="0" fillId="0" borderId="0" xfId="0" applyNumberFormat="1">
      <alignment vertical="center"/>
    </xf>
    <xf numFmtId="38" fontId="0" fillId="0" borderId="0" xfId="0" applyNumberForma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Font="1">
      <alignment vertical="center"/>
    </xf>
    <xf numFmtId="0" fontId="0" fillId="0" borderId="18" xfId="0" applyBorder="1" applyAlignment="1">
      <alignment vertical="center" wrapText="1"/>
    </xf>
    <xf numFmtId="0" fontId="10" fillId="0" borderId="0" xfId="0" applyFont="1">
      <alignment vertical="center"/>
    </xf>
    <xf numFmtId="0" fontId="11" fillId="2" borderId="3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38" fontId="13" fillId="0" borderId="5" xfId="0" applyNumberFormat="1" applyFont="1" applyBorder="1" applyAlignment="1">
      <alignment horizontal="center" vertical="center"/>
    </xf>
    <xf numFmtId="164" fontId="13" fillId="0" borderId="5" xfId="1" applyFont="1" applyBorder="1" applyAlignment="1">
      <alignment horizontal="center" vertical="center"/>
    </xf>
    <xf numFmtId="0" fontId="13" fillId="0" borderId="0" xfId="0" applyFont="1" applyAlignment="1">
      <alignment vertical="top"/>
    </xf>
    <xf numFmtId="38" fontId="14" fillId="0" borderId="7" xfId="0" applyNumberFormat="1" applyFont="1" applyBorder="1">
      <alignment vertical="center"/>
    </xf>
    <xf numFmtId="38" fontId="13" fillId="0" borderId="15" xfId="0" applyNumberFormat="1" applyFont="1" applyBorder="1" applyAlignment="1">
      <alignment horizontal="left" vertical="center"/>
    </xf>
    <xf numFmtId="38" fontId="13" fillId="0" borderId="7" xfId="0" applyNumberFormat="1" applyFont="1" applyBorder="1">
      <alignment vertical="center"/>
    </xf>
    <xf numFmtId="164" fontId="13" fillId="0" borderId="7" xfId="1" applyFont="1" applyBorder="1">
      <alignment vertical="center"/>
    </xf>
    <xf numFmtId="0" fontId="14" fillId="0" borderId="2" xfId="0" applyFont="1" applyBorder="1">
      <alignment vertical="center"/>
    </xf>
    <xf numFmtId="38" fontId="14" fillId="2" borderId="12" xfId="0" applyNumberFormat="1" applyFont="1" applyFill="1" applyBorder="1">
      <alignment vertical="center"/>
    </xf>
    <xf numFmtId="38" fontId="13" fillId="2" borderId="13" xfId="0" applyNumberFormat="1" applyFont="1" applyFill="1" applyBorder="1" applyAlignment="1">
      <alignment horizontal="left" vertical="center"/>
    </xf>
    <xf numFmtId="0" fontId="14" fillId="2" borderId="12" xfId="0" applyFont="1" applyFill="1" applyBorder="1">
      <alignment vertical="center"/>
    </xf>
    <xf numFmtId="164" fontId="14" fillId="2" borderId="12" xfId="0" applyNumberFormat="1" applyFont="1" applyFill="1" applyBorder="1">
      <alignment vertical="center"/>
    </xf>
    <xf numFmtId="164" fontId="13" fillId="0" borderId="0" xfId="1" applyFont="1">
      <alignment vertical="center"/>
    </xf>
    <xf numFmtId="0" fontId="5" fillId="4" borderId="19" xfId="0" applyFont="1" applyFill="1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38" fontId="0" fillId="0" borderId="7" xfId="0" applyNumberFormat="1" applyBorder="1" applyAlignment="1">
      <alignment horizontal="center" vertical="center"/>
    </xf>
    <xf numFmtId="164" fontId="0" fillId="0" borderId="5" xfId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164" fontId="0" fillId="0" borderId="23" xfId="1" applyFont="1" applyBorder="1">
      <alignment vertical="center"/>
    </xf>
    <xf numFmtId="0" fontId="0" fillId="0" borderId="12" xfId="0" applyBorder="1" applyAlignment="1">
      <alignment horizontal="center" vertical="center"/>
    </xf>
    <xf numFmtId="0" fontId="16" fillId="0" borderId="24" xfId="0" applyFont="1" applyBorder="1">
      <alignment vertical="center"/>
    </xf>
    <xf numFmtId="0" fontId="17" fillId="0" borderId="24" xfId="0" applyFont="1" applyBorder="1">
      <alignment vertical="center"/>
    </xf>
    <xf numFmtId="164" fontId="0" fillId="0" borderId="0" xfId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5" fillId="2" borderId="0" xfId="1" applyFont="1" applyFill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38" fontId="6" fillId="0" borderId="14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38" fontId="7" fillId="0" borderId="15" xfId="0" applyNumberFormat="1" applyFont="1" applyBorder="1" applyAlignment="1">
      <alignment horizontal="center" vertical="center"/>
    </xf>
    <xf numFmtId="38" fontId="5" fillId="2" borderId="8" xfId="0" applyNumberFormat="1" applyFont="1" applyFill="1" applyBorder="1" applyAlignment="1">
      <alignment horizontal="center" vertical="center"/>
    </xf>
    <xf numFmtId="38" fontId="7" fillId="2" borderId="17" xfId="0" applyNumberFormat="1" applyFont="1" applyFill="1" applyBorder="1" applyAlignment="1">
      <alignment horizontal="center" vertical="center"/>
    </xf>
    <xf numFmtId="38" fontId="0" fillId="0" borderId="4" xfId="0" applyNumberFormat="1" applyBorder="1" applyAlignment="1">
      <alignment horizontal="center" vertical="center"/>
    </xf>
    <xf numFmtId="38" fontId="7" fillId="0" borderId="0" xfId="0" applyNumberFormat="1" applyFont="1" applyAlignment="1">
      <alignment horizontal="center" vertical="center"/>
    </xf>
    <xf numFmtId="38" fontId="5" fillId="2" borderId="17" xfId="0" applyNumberFormat="1" applyFont="1" applyFill="1" applyBorder="1" applyAlignment="1">
      <alignment horizontal="center" vertical="center"/>
    </xf>
    <xf numFmtId="38" fontId="0" fillId="0" borderId="15" xfId="0" applyNumberFormat="1" applyBorder="1" applyAlignment="1">
      <alignment horizontal="center" vertical="center"/>
    </xf>
    <xf numFmtId="38" fontId="5" fillId="2" borderId="29" xfId="0" applyNumberFormat="1" applyFont="1" applyFill="1" applyBorder="1" applyAlignment="1">
      <alignment horizontal="center" vertical="center"/>
    </xf>
    <xf numFmtId="38" fontId="0" fillId="0" borderId="32" xfId="0" applyNumberFormat="1" applyBorder="1" applyAlignment="1">
      <alignment horizontal="center" vertical="center"/>
    </xf>
    <xf numFmtId="38" fontId="0" fillId="0" borderId="33" xfId="0" applyNumberFormat="1" applyBorder="1" applyAlignment="1">
      <alignment horizontal="center" vertical="center"/>
    </xf>
    <xf numFmtId="38" fontId="5" fillId="2" borderId="34" xfId="0" applyNumberFormat="1" applyFont="1" applyFill="1" applyBorder="1" applyAlignment="1">
      <alignment horizontal="center" vertical="center"/>
    </xf>
    <xf numFmtId="38" fontId="5" fillId="2" borderId="35" xfId="0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38" fontId="5" fillId="6" borderId="15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38" fontId="7" fillId="2" borderId="2" xfId="0" applyNumberFormat="1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38" fontId="5" fillId="2" borderId="27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5" borderId="12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8" fontId="13" fillId="0" borderId="0" xfId="0" applyNumberFormat="1" applyFont="1" applyAlignment="1">
      <alignment horizontal="left" vertical="center"/>
    </xf>
    <xf numFmtId="164" fontId="0" fillId="0" borderId="0" xfId="0" applyNumberFormat="1">
      <alignment vertical="center"/>
    </xf>
    <xf numFmtId="3" fontId="0" fillId="0" borderId="0" xfId="0" applyNumberFormat="1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164" fontId="0" fillId="0" borderId="0" xfId="10" applyFont="1" applyAlignment="1">
      <alignment horizontal="center" vertical="center"/>
    </xf>
    <xf numFmtId="167" fontId="0" fillId="0" borderId="12" xfId="0" applyNumberFormat="1" applyBorder="1">
      <alignment vertical="center"/>
    </xf>
    <xf numFmtId="3" fontId="0" fillId="0" borderId="42" xfId="0" applyNumberFormat="1" applyBorder="1" applyAlignment="1">
      <alignment horizontal="center" vertical="center"/>
    </xf>
    <xf numFmtId="0" fontId="5" fillId="0" borderId="12" xfId="0" applyFont="1" applyBorder="1">
      <alignment vertical="center"/>
    </xf>
    <xf numFmtId="0" fontId="5" fillId="0" borderId="12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64" fontId="0" fillId="0" borderId="12" xfId="1" applyFont="1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167" fontId="0" fillId="0" borderId="12" xfId="0" applyNumberFormat="1" applyBorder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3" fontId="5" fillId="0" borderId="0" xfId="0" applyNumberFormat="1" applyFont="1">
      <alignment vertical="center"/>
    </xf>
    <xf numFmtId="38" fontId="5" fillId="0" borderId="0" xfId="0" applyNumberFormat="1" applyFont="1">
      <alignment vertical="center"/>
    </xf>
    <xf numFmtId="3" fontId="7" fillId="0" borderId="25" xfId="0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2" xfId="0" applyFont="1" applyBorder="1">
      <alignment vertical="center"/>
    </xf>
    <xf numFmtId="3" fontId="20" fillId="0" borderId="16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3" fontId="20" fillId="0" borderId="12" xfId="1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>
      <alignment vertical="center"/>
    </xf>
    <xf numFmtId="38" fontId="20" fillId="0" borderId="12" xfId="1" applyNumberFormat="1" applyFont="1" applyBorder="1" applyAlignment="1">
      <alignment horizontal="center" vertical="center"/>
    </xf>
    <xf numFmtId="38" fontId="20" fillId="0" borderId="12" xfId="0" applyNumberFormat="1" applyFont="1" applyBorder="1" applyAlignment="1">
      <alignment horizontal="center" vertical="center"/>
    </xf>
    <xf numFmtId="168" fontId="0" fillId="0" borderId="0" xfId="11" applyNumberFormat="1" applyFont="1">
      <alignment vertical="center"/>
    </xf>
    <xf numFmtId="0" fontId="20" fillId="0" borderId="7" xfId="0" applyFont="1" applyBorder="1">
      <alignment vertical="center"/>
    </xf>
    <xf numFmtId="0" fontId="20" fillId="0" borderId="7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0" xfId="0" applyBorder="1" applyAlignment="1">
      <alignment vertical="center" wrapText="1"/>
    </xf>
    <xf numFmtId="38" fontId="14" fillId="6" borderId="12" xfId="0" applyNumberFormat="1" applyFont="1" applyFill="1" applyBorder="1">
      <alignment vertical="center"/>
    </xf>
    <xf numFmtId="38" fontId="13" fillId="0" borderId="14" xfId="0" applyNumberFormat="1" applyFont="1" applyBorder="1" applyAlignment="1">
      <alignment horizontal="center" vertical="center"/>
    </xf>
    <xf numFmtId="3" fontId="21" fillId="0" borderId="0" xfId="0" applyNumberFormat="1" applyFont="1">
      <alignment vertical="center"/>
    </xf>
    <xf numFmtId="38" fontId="13" fillId="0" borderId="7" xfId="0" applyNumberFormat="1" applyFont="1" applyBorder="1" applyAlignment="1">
      <alignment horizontal="center" vertical="center"/>
    </xf>
    <xf numFmtId="169" fontId="0" fillId="0" borderId="12" xfId="1" applyNumberFormat="1" applyFont="1" applyBorder="1" applyAlignment="1">
      <alignment vertical="center"/>
    </xf>
    <xf numFmtId="169" fontId="0" fillId="0" borderId="12" xfId="0" applyNumberFormat="1" applyBorder="1">
      <alignment vertical="center"/>
    </xf>
    <xf numFmtId="0" fontId="20" fillId="0" borderId="12" xfId="0" quotePrefix="1" applyFont="1" applyBorder="1" applyAlignment="1">
      <alignment horizontal="center" vertical="center"/>
    </xf>
    <xf numFmtId="3" fontId="20" fillId="0" borderId="16" xfId="0" quotePrefix="1" applyNumberFormat="1" applyFont="1" applyBorder="1" applyAlignment="1">
      <alignment horizontal="center" vertical="center"/>
    </xf>
    <xf numFmtId="38" fontId="20" fillId="0" borderId="16" xfId="0" quotePrefix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left" vertical="center"/>
    </xf>
    <xf numFmtId="0" fontId="20" fillId="0" borderId="12" xfId="0" quotePrefix="1" applyFont="1" applyBorder="1" applyAlignment="1">
      <alignment horizontal="left" vertical="center"/>
    </xf>
    <xf numFmtId="0" fontId="0" fillId="12" borderId="12" xfId="0" applyFill="1" applyBorder="1" applyAlignment="1">
      <alignment horizontal="center" vertical="center"/>
    </xf>
    <xf numFmtId="14" fontId="0" fillId="12" borderId="12" xfId="0" applyNumberFormat="1" applyFill="1" applyBorder="1" applyAlignment="1">
      <alignment horizontal="center" vertical="center"/>
    </xf>
    <xf numFmtId="164" fontId="0" fillId="12" borderId="12" xfId="1" applyFont="1" applyFill="1" applyBorder="1" applyAlignment="1">
      <alignment horizontal="center" vertical="center"/>
    </xf>
    <xf numFmtId="0" fontId="0" fillId="12" borderId="40" xfId="0" applyFill="1" applyBorder="1" applyAlignment="1">
      <alignment vertical="center" wrapText="1"/>
    </xf>
    <xf numFmtId="0" fontId="0" fillId="12" borderId="16" xfId="0" applyFill="1" applyBorder="1" applyAlignment="1">
      <alignment horizontal="center" vertical="center"/>
    </xf>
    <xf numFmtId="14" fontId="0" fillId="12" borderId="16" xfId="0" applyNumberForma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38" fontId="5" fillId="5" borderId="38" xfId="0" applyNumberFormat="1" applyFont="1" applyFill="1" applyBorder="1" applyAlignment="1">
      <alignment horizontal="center" vertical="center"/>
    </xf>
    <xf numFmtId="38" fontId="5" fillId="5" borderId="11" xfId="0" applyNumberFormat="1" applyFont="1" applyFill="1" applyBorder="1" applyAlignment="1">
      <alignment horizontal="center" vertical="center"/>
    </xf>
    <xf numFmtId="38" fontId="7" fillId="0" borderId="32" xfId="0" applyNumberFormat="1" applyFont="1" applyBorder="1" applyAlignment="1">
      <alignment horizontal="center" vertical="center"/>
    </xf>
    <xf numFmtId="38" fontId="7" fillId="0" borderId="7" xfId="0" applyNumberFormat="1" applyFont="1" applyBorder="1" applyAlignment="1">
      <alignment horizontal="center" vertical="center"/>
    </xf>
    <xf numFmtId="38" fontId="7" fillId="0" borderId="33" xfId="0" applyNumberFormat="1" applyFont="1" applyBorder="1" applyAlignment="1">
      <alignment horizontal="center" vertical="center"/>
    </xf>
    <xf numFmtId="38" fontId="7" fillId="6" borderId="4" xfId="0" applyNumberFormat="1" applyFont="1" applyFill="1" applyBorder="1" applyAlignment="1">
      <alignment horizontal="center" vertical="center"/>
    </xf>
    <xf numFmtId="38" fontId="7" fillId="6" borderId="7" xfId="0" applyNumberFormat="1" applyFont="1" applyFill="1" applyBorder="1" applyAlignment="1">
      <alignment horizontal="center" vertical="center"/>
    </xf>
    <xf numFmtId="38" fontId="7" fillId="6" borderId="15" xfId="0" applyNumberFormat="1" applyFont="1" applyFill="1" applyBorder="1" applyAlignment="1">
      <alignment horizontal="center" vertical="center"/>
    </xf>
    <xf numFmtId="38" fontId="7" fillId="0" borderId="4" xfId="0" applyNumberFormat="1" applyFont="1" applyBorder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8" fontId="7" fillId="0" borderId="36" xfId="0" applyNumberFormat="1" applyFont="1" applyBorder="1" applyAlignment="1">
      <alignment horizontal="center" vertical="center"/>
    </xf>
    <xf numFmtId="38" fontId="13" fillId="0" borderId="39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38" fontId="13" fillId="0" borderId="43" xfId="0" applyNumberFormat="1" applyFont="1" applyBorder="1" applyAlignment="1">
      <alignment horizontal="center" vertical="center"/>
    </xf>
    <xf numFmtId="3" fontId="22" fillId="0" borderId="36" xfId="0" applyNumberFormat="1" applyFont="1" applyBorder="1" applyAlignment="1">
      <alignment horizontal="center" vertical="center"/>
    </xf>
    <xf numFmtId="38" fontId="13" fillId="0" borderId="4" xfId="0" applyNumberFormat="1" applyFont="1" applyBorder="1" applyAlignment="1">
      <alignment horizontal="center" vertical="center"/>
    </xf>
    <xf numFmtId="3" fontId="22" fillId="0" borderId="33" xfId="0" applyNumberFormat="1" applyFont="1" applyBorder="1" applyAlignment="1">
      <alignment horizontal="center" vertical="center"/>
    </xf>
    <xf numFmtId="38" fontId="13" fillId="0" borderId="32" xfId="0" applyNumberFormat="1" applyFont="1" applyBorder="1" applyAlignment="1">
      <alignment horizontal="center" vertical="center"/>
    </xf>
    <xf numFmtId="38" fontId="7" fillId="0" borderId="4" xfId="0" applyNumberFormat="1" applyFont="1" applyBorder="1" applyAlignment="1">
      <alignment horizontal="center" vertical="center" wrapText="1"/>
    </xf>
    <xf numFmtId="164" fontId="13" fillId="0" borderId="33" xfId="1" applyFont="1" applyBorder="1" applyAlignment="1">
      <alignment horizontal="center" vertical="center"/>
    </xf>
    <xf numFmtId="164" fontId="13" fillId="0" borderId="15" xfId="1" applyFont="1" applyBorder="1" applyAlignment="1">
      <alignment horizontal="center" vertical="center"/>
    </xf>
    <xf numFmtId="38" fontId="7" fillId="0" borderId="33" xfId="0" quotePrefix="1" applyNumberFormat="1" applyFont="1" applyBorder="1" applyAlignment="1">
      <alignment horizontal="center" vertical="center"/>
    </xf>
    <xf numFmtId="38" fontId="7" fillId="0" borderId="37" xfId="0" applyNumberFormat="1" applyFont="1" applyBorder="1" applyAlignment="1">
      <alignment horizontal="center" vertical="center"/>
    </xf>
    <xf numFmtId="38" fontId="7" fillId="0" borderId="16" xfId="0" applyNumberFormat="1" applyFont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167" fontId="7" fillId="0" borderId="36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67" fontId="7" fillId="0" borderId="33" xfId="0" applyNumberFormat="1" applyFont="1" applyBorder="1" applyAlignment="1">
      <alignment horizontal="center" vertical="center"/>
    </xf>
    <xf numFmtId="3" fontId="7" fillId="0" borderId="33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38" fontId="0" fillId="0" borderId="15" xfId="0" applyNumberFormat="1" applyBorder="1">
      <alignment vertical="center"/>
    </xf>
    <xf numFmtId="38" fontId="13" fillId="0" borderId="44" xfId="0" applyNumberFormat="1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38" fontId="5" fillId="5" borderId="30" xfId="0" applyNumberFormat="1" applyFont="1" applyFill="1" applyBorder="1" applyAlignment="1">
      <alignment horizontal="center" vertical="center"/>
    </xf>
    <xf numFmtId="38" fontId="5" fillId="5" borderId="10" xfId="0" applyNumberFormat="1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38" fontId="5" fillId="7" borderId="9" xfId="0" applyNumberFormat="1" applyFont="1" applyFill="1" applyBorder="1" applyAlignment="1">
      <alignment horizontal="center" vertical="center"/>
    </xf>
    <xf numFmtId="38" fontId="5" fillId="7" borderId="31" xfId="0" applyNumberFormat="1" applyFont="1" applyFill="1" applyBorder="1" applyAlignment="1">
      <alignment horizontal="center" vertical="center"/>
    </xf>
    <xf numFmtId="0" fontId="5" fillId="10" borderId="40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5" fillId="10" borderId="41" xfId="0" applyFont="1" applyFill="1" applyBorder="1" applyAlignment="1">
      <alignment horizontal="center" vertical="center"/>
    </xf>
    <xf numFmtId="0" fontId="5" fillId="8" borderId="40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8" borderId="41" xfId="0" applyFont="1" applyFill="1" applyBorder="1" applyAlignment="1">
      <alignment horizontal="center" vertical="center"/>
    </xf>
    <xf numFmtId="0" fontId="5" fillId="11" borderId="40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5" fillId="11" borderId="4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5" fontId="5" fillId="2" borderId="19" xfId="0" applyNumberFormat="1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9" borderId="0" xfId="0" applyFont="1" applyFill="1" applyAlignment="1">
      <alignment horizontal="center" vertical="center"/>
    </xf>
  </cellXfs>
  <cellStyles count="12">
    <cellStyle name="백분율" xfId="11" builtinId="5"/>
    <cellStyle name="쉼표 [0]" xfId="1" builtinId="6"/>
    <cellStyle name="쉼표 [0] 11" xfId="5" xr:uid="{00000000-0005-0000-0000-000002000000}"/>
    <cellStyle name="쉼표 [0] 11 2" xfId="9" xr:uid="{00000000-0005-0000-0000-000003000000}"/>
    <cellStyle name="쉼표 [0] 12" xfId="7" xr:uid="{00000000-0005-0000-0000-000004000000}"/>
    <cellStyle name="쉼표 [0] 13" xfId="8" xr:uid="{00000000-0005-0000-0000-000005000000}"/>
    <cellStyle name="쉼표 [0] 14" xfId="6" xr:uid="{00000000-0005-0000-0000-000006000000}"/>
    <cellStyle name="쉼표 [0] 15" xfId="4" xr:uid="{00000000-0005-0000-0000-000007000000}"/>
    <cellStyle name="쉼표 [0] 2 2 2" xfId="10" xr:uid="{00000000-0005-0000-0000-000008000000}"/>
    <cellStyle name="표준" xfId="0" builtinId="0"/>
    <cellStyle name="표준 2" xfId="3" xr:uid="{00000000-0005-0000-0000-00000A000000}"/>
    <cellStyle name="표준 7" xfId="2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6"/>
  <sheetViews>
    <sheetView showGridLines="0" tabSelected="1" zoomScale="130" zoomScaleNormal="130" workbookViewId="0">
      <selection activeCell="B6" sqref="B6"/>
    </sheetView>
  </sheetViews>
  <sheetFormatPr defaultRowHeight="16.5"/>
  <cols>
    <col min="1" max="1" width="2.25" customWidth="1"/>
    <col min="2" max="2" width="42.625" customWidth="1"/>
    <col min="3" max="3" width="15.75" customWidth="1"/>
    <col min="6" max="6" width="12.75" bestFit="1" customWidth="1"/>
  </cols>
  <sheetData>
    <row r="2" spans="2:8" ht="20.25">
      <c r="B2" s="1" t="s">
        <v>0</v>
      </c>
    </row>
    <row r="3" spans="2:8" ht="17.25" thickBot="1"/>
    <row r="4" spans="2:8" ht="24.95" customHeight="1" thickBot="1">
      <c r="B4" s="48" t="s">
        <v>1</v>
      </c>
      <c r="C4" s="47" t="s">
        <v>2</v>
      </c>
    </row>
    <row r="5" spans="2:8" ht="24.95" customHeight="1">
      <c r="B5" s="7" t="s">
        <v>3</v>
      </c>
      <c r="C5" s="44">
        <f>SUM(C6:C16)</f>
        <v>1639691342</v>
      </c>
    </row>
    <row r="6" spans="2:8" ht="24.95" customHeight="1">
      <c r="B6" s="72" t="s">
        <v>4</v>
      </c>
      <c r="C6" s="54">
        <f>'SUM2'!C12</f>
        <v>1386040909</v>
      </c>
      <c r="F6" s="5"/>
    </row>
    <row r="7" spans="2:8" ht="24.95" customHeight="1">
      <c r="B7" s="72" t="s">
        <v>5</v>
      </c>
      <c r="C7" s="54">
        <f>'SUM2'!C19</f>
        <v>199424800</v>
      </c>
    </row>
    <row r="8" spans="2:8" ht="24.95" customHeight="1">
      <c r="B8" s="72" t="s">
        <v>6</v>
      </c>
      <c r="C8" s="54">
        <f>'SUM2'!C23</f>
        <v>1776000</v>
      </c>
    </row>
    <row r="9" spans="2:8" ht="24.95" customHeight="1">
      <c r="B9" s="72" t="s">
        <v>7</v>
      </c>
      <c r="C9" s="54">
        <f>'SUM2'!C27</f>
        <v>18852640</v>
      </c>
    </row>
    <row r="10" spans="2:8" ht="24.95" customHeight="1">
      <c r="B10" s="72" t="s">
        <v>8</v>
      </c>
      <c r="C10" s="54">
        <f>'SUM2'!C30</f>
        <v>0</v>
      </c>
    </row>
    <row r="11" spans="2:8" ht="24.95" customHeight="1">
      <c r="B11" s="72" t="s">
        <v>9</v>
      </c>
      <c r="C11" s="54">
        <f>'SUM2'!C33</f>
        <v>29517400</v>
      </c>
    </row>
    <row r="12" spans="2:8" ht="24.95" customHeight="1">
      <c r="B12" s="72" t="s">
        <v>10</v>
      </c>
      <c r="C12" s="54">
        <f>'SUM2'!C36</f>
        <v>0</v>
      </c>
    </row>
    <row r="13" spans="2:8" ht="24.95" customHeight="1">
      <c r="B13" s="72" t="s">
        <v>11</v>
      </c>
      <c r="C13" s="54">
        <v>0</v>
      </c>
    </row>
    <row r="14" spans="2:8" ht="24.95" customHeight="1">
      <c r="B14" s="72" t="s">
        <v>12</v>
      </c>
      <c r="C14" s="54">
        <f>'SUM2'!C40</f>
        <v>650000</v>
      </c>
    </row>
    <row r="15" spans="2:8" ht="24.95" customHeight="1">
      <c r="B15" s="72" t="s">
        <v>13</v>
      </c>
      <c r="C15" s="54">
        <f>'SUM2'!C47</f>
        <v>3429593</v>
      </c>
    </row>
    <row r="16" spans="2:8" ht="24.95" customHeight="1" thickBot="1">
      <c r="B16" s="73" t="s">
        <v>14</v>
      </c>
      <c r="C16" s="71">
        <f>'SUM2'!C51</f>
        <v>0</v>
      </c>
      <c r="H16" s="10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P63"/>
  <sheetViews>
    <sheetView showGridLines="0" zoomScale="85" zoomScaleNormal="85" zoomScaleSheetLayoutView="85" workbookViewId="0">
      <pane xSplit="4" topLeftCell="E1" activePane="topRight" state="frozen"/>
      <selection pane="topRight" activeCell="B57" sqref="B57"/>
      <selection activeCell="B4" sqref="B4"/>
    </sheetView>
  </sheetViews>
  <sheetFormatPr defaultRowHeight="16.5"/>
  <cols>
    <col min="1" max="1" width="2.25" customWidth="1"/>
    <col min="2" max="2" width="51.25" customWidth="1"/>
    <col min="3" max="3" width="21" bestFit="1" customWidth="1"/>
    <col min="5" max="5" width="54" bestFit="1" customWidth="1"/>
    <col min="6" max="6" width="15.5" customWidth="1"/>
    <col min="7" max="7" width="14" style="5" customWidth="1"/>
    <col min="8" max="8" width="29" customWidth="1"/>
    <col min="9" max="9" width="15.625" customWidth="1"/>
    <col min="10" max="10" width="13.25" style="5" customWidth="1"/>
    <col min="11" max="11" width="33.375" customWidth="1"/>
    <col min="12" max="12" width="16.375" customWidth="1"/>
    <col min="13" max="13" width="14" style="5" customWidth="1"/>
    <col min="14" max="14" width="31" customWidth="1"/>
    <col min="15" max="15" width="16.375" customWidth="1"/>
    <col min="16" max="16" width="13.625" style="5" customWidth="1"/>
    <col min="17" max="17" width="39.75" customWidth="1"/>
    <col min="18" max="18" width="16.625" customWidth="1"/>
    <col min="19" max="19" width="15.25" customWidth="1"/>
    <col min="20" max="20" width="48.875" customWidth="1"/>
    <col min="21" max="21" width="16.5" customWidth="1"/>
    <col min="22" max="22" width="14.125" customWidth="1"/>
    <col min="23" max="23" width="32.375" customWidth="1"/>
    <col min="24" max="24" width="21.375" customWidth="1"/>
    <col min="25" max="25" width="16.75" customWidth="1"/>
    <col min="26" max="26" width="27.875" customWidth="1"/>
    <col min="27" max="27" width="17.125" customWidth="1"/>
    <col min="28" max="28" width="13.5" customWidth="1"/>
    <col min="29" max="29" width="30.875" customWidth="1"/>
    <col min="30" max="30" width="20.625" customWidth="1"/>
    <col min="31" max="31" width="16.25" customWidth="1"/>
    <col min="32" max="32" width="31" customWidth="1"/>
    <col min="33" max="33" width="16.5" customWidth="1"/>
    <col min="34" max="34" width="15.125" customWidth="1"/>
    <col min="35" max="35" width="40.5" customWidth="1"/>
    <col min="36" max="36" width="17.125" customWidth="1"/>
    <col min="37" max="37" width="16" customWidth="1"/>
    <col min="38" max="38" width="25.125" customWidth="1"/>
    <col min="39" max="39" width="18.125" customWidth="1"/>
    <col min="40" max="40" width="19.5" customWidth="1"/>
    <col min="44" max="44" width="10.625" bestFit="1" customWidth="1"/>
    <col min="48" max="48" width="10.75" bestFit="1" customWidth="1"/>
  </cols>
  <sheetData>
    <row r="1" spans="2:40" ht="11.25" customHeight="1"/>
    <row r="2" spans="2:40" ht="26.25">
      <c r="B2" s="94" t="s">
        <v>0</v>
      </c>
    </row>
    <row r="3" spans="2:40" ht="17.25" thickBot="1"/>
    <row r="4" spans="2:40" s="2" customFormat="1" ht="39.950000000000003" customHeight="1" thickBot="1">
      <c r="B4" s="136" t="s">
        <v>15</v>
      </c>
      <c r="C4" s="137" t="s">
        <v>2</v>
      </c>
      <c r="D4" s="138" t="s">
        <v>16</v>
      </c>
      <c r="E4" s="182" t="s">
        <v>17</v>
      </c>
      <c r="F4" s="181"/>
      <c r="G4" s="183"/>
      <c r="H4" s="182" t="s">
        <v>18</v>
      </c>
      <c r="I4" s="181"/>
      <c r="J4" s="183"/>
      <c r="K4" s="181" t="s">
        <v>19</v>
      </c>
      <c r="L4" s="181"/>
      <c r="M4" s="181"/>
      <c r="N4" s="182" t="s">
        <v>20</v>
      </c>
      <c r="O4" s="181"/>
      <c r="P4" s="183"/>
      <c r="Q4" s="181" t="s">
        <v>21</v>
      </c>
      <c r="R4" s="181"/>
      <c r="S4" s="181"/>
      <c r="T4" s="182" t="s">
        <v>22</v>
      </c>
      <c r="U4" s="181"/>
      <c r="V4" s="183"/>
      <c r="W4" s="181" t="s">
        <v>23</v>
      </c>
      <c r="X4" s="181"/>
      <c r="Y4" s="181"/>
      <c r="Z4" s="182" t="s">
        <v>24</v>
      </c>
      <c r="AA4" s="181"/>
      <c r="AB4" s="183"/>
      <c r="AC4" s="181" t="s">
        <v>25</v>
      </c>
      <c r="AD4" s="181"/>
      <c r="AE4" s="181"/>
      <c r="AF4" s="182" t="s">
        <v>26</v>
      </c>
      <c r="AG4" s="181"/>
      <c r="AH4" s="183"/>
      <c r="AI4" s="181" t="s">
        <v>27</v>
      </c>
      <c r="AJ4" s="181"/>
      <c r="AK4" s="181"/>
      <c r="AL4" s="182" t="s">
        <v>28</v>
      </c>
      <c r="AM4" s="181"/>
      <c r="AN4" s="181"/>
    </row>
    <row r="5" spans="2:40" s="8" customFormat="1" ht="39.950000000000003" customHeight="1" thickBot="1">
      <c r="B5" s="139" t="s">
        <v>3</v>
      </c>
      <c r="C5" s="196">
        <f>SUM(E5:AN5)</f>
        <v>1639691342</v>
      </c>
      <c r="D5" s="197"/>
      <c r="E5" s="184" t="s">
        <v>29</v>
      </c>
      <c r="F5" s="185"/>
      <c r="G5" s="140">
        <f>G12+G19+G23+G27+G30+G33+G36+G38+G40+G47+G51</f>
        <v>419579478</v>
      </c>
      <c r="H5" s="184" t="s">
        <v>29</v>
      </c>
      <c r="I5" s="185"/>
      <c r="J5" s="140">
        <f>J12+J19+J23+J27+J30+J33+J36+J38+J40+J47+J51</f>
        <v>267480828</v>
      </c>
      <c r="K5" s="184" t="s">
        <v>29</v>
      </c>
      <c r="L5" s="185"/>
      <c r="M5" s="140">
        <f>M12+M19+M23+M27+M30+M33+M36+M38+M40+M47+M51</f>
        <v>283145646</v>
      </c>
      <c r="N5" s="184" t="s">
        <v>29</v>
      </c>
      <c r="O5" s="185"/>
      <c r="P5" s="140">
        <f>P12+P19+P23+P27+P30+P33+P36+P38+P40+P47+P51</f>
        <v>313938990</v>
      </c>
      <c r="Q5" s="184" t="s">
        <v>29</v>
      </c>
      <c r="R5" s="185"/>
      <c r="S5" s="140">
        <f>S12+S19+S23+S27+S30+S33+S36+S38+S40+S47+S51</f>
        <v>321824636</v>
      </c>
      <c r="T5" s="184" t="s">
        <v>29</v>
      </c>
      <c r="U5" s="185"/>
      <c r="V5" s="140">
        <f>V12+V19+V23+V27+V30+V33+V36+V38+V40+V47+V51</f>
        <v>4589364</v>
      </c>
      <c r="W5" s="184" t="s">
        <v>30</v>
      </c>
      <c r="X5" s="185"/>
      <c r="Y5" s="140">
        <f>Y12+Y19+Y23+Y27+Y30+Y33+Y36+Y38+Y40+Y47+Y51</f>
        <v>0</v>
      </c>
      <c r="Z5" s="184" t="s">
        <v>29</v>
      </c>
      <c r="AA5" s="185"/>
      <c r="AB5" s="140">
        <f>AB12+AB19+AB23+AB27+AB30+AB33+AB36+AB38+AB40+AB47+AB51</f>
        <v>0</v>
      </c>
      <c r="AC5" s="184" t="s">
        <v>29</v>
      </c>
      <c r="AD5" s="185"/>
      <c r="AE5" s="140">
        <f>AE12+AE19+AE23+AE27+AE30+AE33+AE36+AE38+AE40+AE47+AE51</f>
        <v>0</v>
      </c>
      <c r="AF5" s="184" t="s">
        <v>29</v>
      </c>
      <c r="AG5" s="185"/>
      <c r="AH5" s="140">
        <f>AH12+AH19+AH23+AH27+AH30+AH33+AH36+AH38+AH40+AH47+AH51</f>
        <v>29132400</v>
      </c>
      <c r="AI5" s="184" t="s">
        <v>29</v>
      </c>
      <c r="AJ5" s="185"/>
      <c r="AK5" s="140">
        <f>AK12+AK19+AK23+AK27+AK30+AK33+AK36+AK38+AK40+AK47+AK51</f>
        <v>0</v>
      </c>
      <c r="AL5" s="184" t="s">
        <v>29</v>
      </c>
      <c r="AM5" s="185"/>
      <c r="AN5" s="141">
        <f>AN12+AN19+AN23+AN27+AN30+AN33+AN36+AN38+AN40+AN47+AN51</f>
        <v>0</v>
      </c>
    </row>
    <row r="6" spans="2:40" s="8" customFormat="1" ht="39.950000000000003" customHeight="1">
      <c r="B6" s="190" t="s">
        <v>31</v>
      </c>
      <c r="C6" s="191"/>
      <c r="D6" s="49" t="s">
        <v>32</v>
      </c>
      <c r="E6" s="142" t="s">
        <v>33</v>
      </c>
      <c r="F6" s="143" t="s">
        <v>34</v>
      </c>
      <c r="G6" s="144">
        <v>312541000</v>
      </c>
      <c r="H6" s="142" t="s">
        <v>35</v>
      </c>
      <c r="I6" s="143" t="s">
        <v>34</v>
      </c>
      <c r="J6" s="144">
        <v>232398000</v>
      </c>
      <c r="K6" s="142" t="s">
        <v>36</v>
      </c>
      <c r="L6" s="143" t="s">
        <v>34</v>
      </c>
      <c r="M6" s="49">
        <f>SUM('5.(매장시설관리팀)'!$E$1339:$E$1987)</f>
        <v>246648000</v>
      </c>
      <c r="N6" s="142" t="s">
        <v>37</v>
      </c>
      <c r="O6" s="143" t="s">
        <v>34</v>
      </c>
      <c r="P6" s="144">
        <f>SUM('5.(매장시설관리팀)'!$E$1988:$E$2667)</f>
        <v>274190000</v>
      </c>
      <c r="Q6" s="142" t="s">
        <v>38</v>
      </c>
      <c r="R6" s="143" t="s">
        <v>34</v>
      </c>
      <c r="S6" s="49">
        <f>SUM('5.(매장시설관리팀)'!$E$2668:$E$3353)</f>
        <v>279624909</v>
      </c>
      <c r="T6" s="142"/>
      <c r="U6" s="143"/>
      <c r="V6" s="144"/>
      <c r="W6" s="145"/>
      <c r="X6" s="146"/>
      <c r="Y6" s="147"/>
      <c r="Z6" s="142"/>
      <c r="AA6" s="143"/>
      <c r="AB6" s="144"/>
      <c r="AC6" s="148"/>
      <c r="AD6" s="143"/>
      <c r="AE6" s="49"/>
      <c r="AF6" s="142"/>
      <c r="AG6" s="143"/>
      <c r="AH6" s="144"/>
      <c r="AI6" s="148"/>
      <c r="AJ6" s="143"/>
      <c r="AK6" s="49"/>
      <c r="AL6" s="142"/>
      <c r="AM6" s="143"/>
      <c r="AN6" s="149"/>
    </row>
    <row r="7" spans="2:40" s="8" customFormat="1" ht="39.950000000000003" customHeight="1">
      <c r="B7" s="192"/>
      <c r="C7" s="193"/>
      <c r="D7" s="49"/>
      <c r="E7" s="142" t="s">
        <v>39</v>
      </c>
      <c r="F7" s="143" t="s">
        <v>40</v>
      </c>
      <c r="G7" s="144">
        <f>'4.(소화기, 매장비품)'!$F$26</f>
        <v>7880000</v>
      </c>
      <c r="H7" s="142" t="s">
        <v>41</v>
      </c>
      <c r="I7" s="143" t="s">
        <v>40</v>
      </c>
      <c r="J7" s="144">
        <f>'4.(소화기, 매장비품)'!$H$26</f>
        <v>6350000</v>
      </c>
      <c r="K7" s="142" t="s">
        <v>42</v>
      </c>
      <c r="L7" s="143" t="s">
        <v>40</v>
      </c>
      <c r="M7" s="49">
        <f>'4.(소화기, 매장비품)'!$J$26</f>
        <v>5030000</v>
      </c>
      <c r="N7" s="142" t="s">
        <v>43</v>
      </c>
      <c r="O7" s="143" t="s">
        <v>40</v>
      </c>
      <c r="P7" s="144">
        <f>'4.(소화기, 매장비품)'!$L$26</f>
        <v>7040000</v>
      </c>
      <c r="Q7" s="142" t="s">
        <v>44</v>
      </c>
      <c r="R7" s="143" t="s">
        <v>40</v>
      </c>
      <c r="S7" s="49">
        <f>'4.(소화기, 매장비품)'!$N$26</f>
        <v>1410000</v>
      </c>
      <c r="T7" s="142" t="s">
        <v>45</v>
      </c>
      <c r="U7" s="143" t="s">
        <v>40</v>
      </c>
      <c r="V7" s="144">
        <f>'4.(소화기, 매장비품)'!$P$26</f>
        <v>60000</v>
      </c>
      <c r="W7" s="148"/>
      <c r="X7" s="143"/>
      <c r="Y7" s="49"/>
      <c r="Z7" s="142"/>
      <c r="AA7" s="143"/>
      <c r="AB7" s="144"/>
      <c r="AC7" s="148"/>
      <c r="AD7" s="143"/>
      <c r="AE7" s="49"/>
      <c r="AF7" s="142"/>
      <c r="AG7" s="143"/>
      <c r="AH7" s="144"/>
      <c r="AI7" s="148"/>
      <c r="AJ7" s="143"/>
      <c r="AK7" s="49"/>
      <c r="AL7" s="142"/>
      <c r="AM7" s="143"/>
      <c r="AN7" s="149"/>
    </row>
    <row r="8" spans="2:40" s="8" customFormat="1" ht="39.950000000000003" customHeight="1">
      <c r="B8" s="192"/>
      <c r="C8" s="193"/>
      <c r="D8" s="49"/>
      <c r="E8" s="142" t="s">
        <v>46</v>
      </c>
      <c r="F8" s="143" t="s">
        <v>47</v>
      </c>
      <c r="G8" s="144">
        <f>'4.(소화기, 매장비품)'!$F$23</f>
        <v>1025000</v>
      </c>
      <c r="H8" s="142" t="s">
        <v>48</v>
      </c>
      <c r="I8" s="143" t="s">
        <v>47</v>
      </c>
      <c r="J8" s="144">
        <f>'4.(소화기, 매장비품)'!$H$23</f>
        <v>272000</v>
      </c>
      <c r="K8" s="142" t="s">
        <v>49</v>
      </c>
      <c r="L8" s="143" t="s">
        <v>47</v>
      </c>
      <c r="M8" s="144">
        <f>'4.(소화기, 매장비품)'!$J$23</f>
        <v>865000</v>
      </c>
      <c r="N8" s="142" t="s">
        <v>50</v>
      </c>
      <c r="O8" s="143" t="s">
        <v>47</v>
      </c>
      <c r="P8" s="144">
        <f>'4.(소화기, 매장비품)'!$L$23</f>
        <v>3087000</v>
      </c>
      <c r="Q8" s="142" t="s">
        <v>51</v>
      </c>
      <c r="R8" s="143" t="s">
        <v>47</v>
      </c>
      <c r="S8" s="144">
        <f>'4.(소화기, 매장비품)'!$N$23</f>
        <v>7295000</v>
      </c>
      <c r="T8" s="142"/>
      <c r="U8" s="143"/>
      <c r="V8" s="144"/>
      <c r="W8" s="148"/>
      <c r="X8" s="143"/>
      <c r="Y8" s="49"/>
      <c r="Z8" s="142"/>
      <c r="AA8" s="143"/>
      <c r="AB8" s="144"/>
      <c r="AC8" s="148"/>
      <c r="AD8" s="143"/>
      <c r="AE8" s="49"/>
      <c r="AF8" s="142"/>
      <c r="AG8" s="143"/>
      <c r="AH8" s="144"/>
      <c r="AI8" s="148"/>
      <c r="AJ8" s="143"/>
      <c r="AK8" s="49"/>
      <c r="AL8" s="142"/>
      <c r="AM8" s="143"/>
      <c r="AN8" s="149"/>
    </row>
    <row r="9" spans="2:40" s="8" customFormat="1" ht="39.950000000000003" customHeight="1">
      <c r="B9" s="192"/>
      <c r="C9" s="193"/>
      <c r="D9" s="49"/>
      <c r="E9" s="142"/>
      <c r="F9" s="143"/>
      <c r="G9" s="144"/>
      <c r="H9" s="142" t="s">
        <v>52</v>
      </c>
      <c r="I9" s="143" t="s">
        <v>53</v>
      </c>
      <c r="J9" s="144">
        <f>'2.(신축팀)'!$G$8</f>
        <v>235000</v>
      </c>
      <c r="K9" s="148" t="s">
        <v>54</v>
      </c>
      <c r="L9" s="143" t="s">
        <v>53</v>
      </c>
      <c r="M9" s="49">
        <f>'2.(신축팀)'!$G$9</f>
        <v>90000</v>
      </c>
      <c r="N9" s="142"/>
      <c r="O9" s="143"/>
      <c r="P9" s="144"/>
      <c r="Q9" s="148"/>
      <c r="R9" s="143"/>
      <c r="S9" s="49"/>
      <c r="T9" s="142"/>
      <c r="U9" s="143"/>
      <c r="V9" s="144"/>
      <c r="W9" s="148"/>
      <c r="X9" s="143"/>
      <c r="Y9" s="49"/>
      <c r="Z9" s="142"/>
      <c r="AA9" s="143"/>
      <c r="AB9" s="144"/>
      <c r="AC9" s="148"/>
      <c r="AD9" s="143"/>
      <c r="AE9" s="49"/>
      <c r="AF9" s="142"/>
      <c r="AG9" s="143"/>
      <c r="AH9" s="144"/>
      <c r="AI9" s="148"/>
      <c r="AJ9" s="143"/>
      <c r="AK9" s="49"/>
      <c r="AL9" s="142"/>
      <c r="AM9" s="143"/>
      <c r="AN9" s="150"/>
    </row>
    <row r="10" spans="2:40" s="8" customFormat="1" ht="39.950000000000003" customHeight="1">
      <c r="B10" s="192"/>
      <c r="C10" s="193"/>
      <c r="D10" s="49"/>
      <c r="E10" s="142"/>
      <c r="F10" s="143"/>
      <c r="G10" s="144"/>
      <c r="H10" s="142"/>
      <c r="I10" s="143"/>
      <c r="J10" s="144"/>
      <c r="K10" s="148"/>
      <c r="L10" s="143"/>
      <c r="M10" s="49"/>
      <c r="N10" s="142"/>
      <c r="O10" s="143"/>
      <c r="P10" s="144"/>
      <c r="Q10" s="148"/>
      <c r="R10" s="143"/>
      <c r="S10" s="49"/>
      <c r="T10" s="142"/>
      <c r="U10" s="143"/>
      <c r="V10" s="144"/>
      <c r="W10" s="148"/>
      <c r="X10" s="143"/>
      <c r="Y10" s="49"/>
      <c r="Z10" s="142"/>
      <c r="AA10" s="143"/>
      <c r="AB10" s="144"/>
      <c r="AC10" s="148"/>
      <c r="AD10" s="143"/>
      <c r="AE10" s="49"/>
      <c r="AF10" s="142"/>
      <c r="AG10" s="143"/>
      <c r="AH10" s="144"/>
      <c r="AI10" s="148"/>
      <c r="AJ10" s="143"/>
      <c r="AK10" s="49"/>
      <c r="AL10" s="142"/>
      <c r="AM10" s="143"/>
      <c r="AN10" s="150"/>
    </row>
    <row r="11" spans="2:40" s="8" customFormat="1" ht="39.950000000000003" customHeight="1">
      <c r="B11" s="192"/>
      <c r="C11" s="193"/>
      <c r="D11" s="49"/>
      <c r="E11" s="142"/>
      <c r="F11" s="143"/>
      <c r="G11" s="144"/>
      <c r="H11" s="142"/>
      <c r="I11" s="143"/>
      <c r="J11" s="144"/>
      <c r="K11" s="148"/>
      <c r="L11" s="143"/>
      <c r="M11" s="49"/>
      <c r="N11" s="142"/>
      <c r="O11" s="143"/>
      <c r="P11" s="144"/>
      <c r="Q11" s="148"/>
      <c r="R11" s="143"/>
      <c r="S11" s="49"/>
      <c r="T11" s="142"/>
      <c r="U11" s="143"/>
      <c r="V11" s="144"/>
      <c r="W11" s="148"/>
      <c r="X11" s="143"/>
      <c r="Y11" s="49"/>
      <c r="Z11" s="142"/>
      <c r="AA11" s="143"/>
      <c r="AB11" s="144"/>
      <c r="AC11" s="148"/>
      <c r="AD11" s="143"/>
      <c r="AE11" s="49"/>
      <c r="AF11" s="142"/>
      <c r="AG11" s="143"/>
      <c r="AH11" s="144"/>
      <c r="AI11" s="148"/>
      <c r="AJ11" s="143"/>
      <c r="AK11" s="49"/>
      <c r="AL11" s="142"/>
      <c r="AM11" s="143"/>
      <c r="AN11" s="150"/>
    </row>
    <row r="12" spans="2:40" s="45" customFormat="1" ht="39.950000000000003" customHeight="1" thickBot="1">
      <c r="B12" s="151"/>
      <c r="C12" s="56">
        <f>SUM(E12:AN12)</f>
        <v>1386040909</v>
      </c>
      <c r="D12" s="51" t="s">
        <v>55</v>
      </c>
      <c r="E12" s="59"/>
      <c r="F12" s="50"/>
      <c r="G12" s="60">
        <f>SUM(G6:G11)</f>
        <v>321446000</v>
      </c>
      <c r="H12" s="59"/>
      <c r="I12" s="50"/>
      <c r="J12" s="60">
        <f>SUM(J6:J11)</f>
        <v>239255000</v>
      </c>
      <c r="K12" s="56"/>
      <c r="L12" s="50"/>
      <c r="M12" s="54">
        <f>SUM(M6:M11)</f>
        <v>252633000</v>
      </c>
      <c r="N12" s="59"/>
      <c r="O12" s="50"/>
      <c r="P12" s="60">
        <f>SUM(P6:P11)</f>
        <v>284317000</v>
      </c>
      <c r="Q12" s="56"/>
      <c r="R12" s="50"/>
      <c r="S12" s="54">
        <f>SUM(S6:S11)</f>
        <v>288329909</v>
      </c>
      <c r="T12" s="59"/>
      <c r="U12" s="50"/>
      <c r="V12" s="60">
        <f>V6+V7+V8+V9</f>
        <v>60000</v>
      </c>
      <c r="W12" s="56"/>
      <c r="X12" s="50"/>
      <c r="Y12" s="54">
        <f>Y6+Y7+Y8+Y9+Y10</f>
        <v>0</v>
      </c>
      <c r="Z12" s="59"/>
      <c r="AA12" s="50"/>
      <c r="AB12" s="60">
        <f>SUM(AB6:AB11)</f>
        <v>0</v>
      </c>
      <c r="AC12" s="56"/>
      <c r="AD12" s="50"/>
      <c r="AE12" s="54">
        <f>SUM(AE6:AE11)</f>
        <v>0</v>
      </c>
      <c r="AF12" s="59"/>
      <c r="AG12" s="50"/>
      <c r="AH12" s="60">
        <f>SUM(AH6:AH11)</f>
        <v>0</v>
      </c>
      <c r="AI12" s="56"/>
      <c r="AJ12" s="50"/>
      <c r="AK12" s="54">
        <f>SUM(AK6:AK11)</f>
        <v>0</v>
      </c>
      <c r="AL12" s="59"/>
      <c r="AM12" s="50"/>
      <c r="AN12" s="54">
        <f>SUM(AN6:AN11)</f>
        <v>0</v>
      </c>
    </row>
    <row r="13" spans="2:40" s="8" customFormat="1" ht="39.950000000000003" customHeight="1">
      <c r="B13" s="194" t="s">
        <v>56</v>
      </c>
      <c r="C13" s="195"/>
      <c r="D13" s="152" t="s">
        <v>32</v>
      </c>
      <c r="E13" s="153" t="s">
        <v>57</v>
      </c>
      <c r="F13" s="143" t="s">
        <v>40</v>
      </c>
      <c r="G13" s="154">
        <v>37182600</v>
      </c>
      <c r="H13" s="142" t="s">
        <v>58</v>
      </c>
      <c r="I13" s="143"/>
      <c r="J13" s="144"/>
      <c r="K13" s="180" t="s">
        <v>59</v>
      </c>
      <c r="L13" s="143" t="s">
        <v>40</v>
      </c>
      <c r="M13" s="154">
        <v>130000</v>
      </c>
      <c r="N13" s="155" t="s">
        <v>60</v>
      </c>
      <c r="O13" s="143" t="s">
        <v>40</v>
      </c>
      <c r="P13" s="156">
        <v>3360000</v>
      </c>
      <c r="Q13" s="148"/>
      <c r="R13" s="143"/>
      <c r="S13" s="49"/>
      <c r="T13" s="142"/>
      <c r="U13" s="143"/>
      <c r="V13" s="144"/>
      <c r="W13" s="148"/>
      <c r="X13" s="143"/>
      <c r="Y13" s="63"/>
      <c r="Z13" s="142"/>
      <c r="AA13" s="143"/>
      <c r="AB13" s="144"/>
      <c r="AC13" s="148"/>
      <c r="AD13" s="143"/>
      <c r="AE13" s="49"/>
      <c r="AF13" s="142"/>
      <c r="AG13" s="143"/>
      <c r="AH13" s="144"/>
      <c r="AI13" s="148"/>
      <c r="AJ13" s="143"/>
      <c r="AK13" s="49"/>
      <c r="AL13" s="142"/>
      <c r="AM13" s="143"/>
      <c r="AN13" s="149"/>
    </row>
    <row r="14" spans="2:40" s="8" customFormat="1" ht="39.950000000000003" customHeight="1">
      <c r="B14" s="192"/>
      <c r="C14" s="193"/>
      <c r="D14" s="144"/>
      <c r="E14" s="157" t="s">
        <v>61</v>
      </c>
      <c r="F14" s="143" t="s">
        <v>40</v>
      </c>
      <c r="G14" s="154">
        <v>30248000</v>
      </c>
      <c r="H14" s="142"/>
      <c r="I14" s="143"/>
      <c r="J14" s="144"/>
      <c r="K14" s="159" t="s">
        <v>62</v>
      </c>
      <c r="L14" s="143" t="s">
        <v>40</v>
      </c>
      <c r="M14" s="158">
        <v>140000</v>
      </c>
      <c r="N14" s="159" t="s">
        <v>63</v>
      </c>
      <c r="O14" s="143" t="s">
        <v>40</v>
      </c>
      <c r="P14" s="158">
        <v>130000</v>
      </c>
      <c r="Q14" s="148"/>
      <c r="R14" s="143"/>
      <c r="S14" s="143"/>
      <c r="T14" s="142"/>
      <c r="U14" s="143"/>
      <c r="V14" s="144"/>
      <c r="W14" s="148"/>
      <c r="X14" s="143"/>
      <c r="Y14" s="49"/>
      <c r="Z14" s="142"/>
      <c r="AA14" s="143"/>
      <c r="AB14" s="144"/>
      <c r="AC14" s="160"/>
      <c r="AD14" s="143"/>
      <c r="AE14" s="49"/>
      <c r="AF14" s="142"/>
      <c r="AG14" s="143"/>
      <c r="AH14" s="144"/>
      <c r="AI14" s="148"/>
      <c r="AJ14" s="143"/>
      <c r="AK14" s="49"/>
      <c r="AL14" s="142"/>
      <c r="AM14" s="143"/>
      <c r="AN14" s="149"/>
    </row>
    <row r="15" spans="2:40" s="8" customFormat="1" ht="39.950000000000003" customHeight="1">
      <c r="B15" s="192"/>
      <c r="C15" s="193"/>
      <c r="D15" s="144"/>
      <c r="E15" s="157" t="s">
        <v>64</v>
      </c>
      <c r="F15" s="143" t="s">
        <v>40</v>
      </c>
      <c r="G15" s="154">
        <v>121000</v>
      </c>
      <c r="H15" s="142"/>
      <c r="I15" s="143"/>
      <c r="J15" s="144"/>
      <c r="K15" s="148"/>
      <c r="L15" s="143"/>
      <c r="M15" s="161"/>
      <c r="N15" s="157" t="s">
        <v>65</v>
      </c>
      <c r="O15" s="143" t="s">
        <v>40</v>
      </c>
      <c r="P15" s="158">
        <f>280000+130000</f>
        <v>410000</v>
      </c>
      <c r="Q15" s="148"/>
      <c r="R15" s="143"/>
      <c r="S15" s="49"/>
      <c r="T15" s="142"/>
      <c r="U15" s="143"/>
      <c r="V15" s="144"/>
      <c r="W15" s="148"/>
      <c r="X15" s="143"/>
      <c r="Y15" s="49"/>
      <c r="Z15" s="142"/>
      <c r="AA15" s="143"/>
      <c r="AB15" s="144"/>
      <c r="AC15" s="160"/>
      <c r="AD15" s="143"/>
      <c r="AE15" s="49"/>
      <c r="AF15" s="142"/>
      <c r="AG15" s="143"/>
      <c r="AH15" s="144"/>
      <c r="AI15" s="148"/>
      <c r="AJ15" s="143"/>
      <c r="AK15" s="49"/>
      <c r="AL15" s="142"/>
      <c r="AM15" s="143"/>
      <c r="AN15" s="150"/>
    </row>
    <row r="16" spans="2:40" s="8" customFormat="1" ht="39.950000000000003" customHeight="1">
      <c r="B16" s="192"/>
      <c r="C16" s="193"/>
      <c r="D16" s="144"/>
      <c r="E16" s="157" t="s">
        <v>66</v>
      </c>
      <c r="F16" s="143" t="s">
        <v>40</v>
      </c>
      <c r="G16" s="154">
        <v>121000</v>
      </c>
      <c r="H16" s="142"/>
      <c r="I16" s="143"/>
      <c r="J16" s="144"/>
      <c r="K16" s="148"/>
      <c r="L16" s="143"/>
      <c r="M16" s="161"/>
      <c r="N16" s="157" t="s">
        <v>65</v>
      </c>
      <c r="O16" s="143" t="s">
        <v>40</v>
      </c>
      <c r="P16" s="158">
        <v>130000</v>
      </c>
      <c r="Q16" s="148"/>
      <c r="R16" s="143"/>
      <c r="S16" s="49"/>
      <c r="T16" s="142"/>
      <c r="U16" s="143"/>
      <c r="V16" s="144"/>
      <c r="W16" s="148"/>
      <c r="X16" s="143"/>
      <c r="Y16" s="49"/>
      <c r="Z16" s="142"/>
      <c r="AA16" s="143"/>
      <c r="AB16" s="144"/>
      <c r="AC16" s="160"/>
      <c r="AD16" s="143"/>
      <c r="AE16" s="49"/>
      <c r="AF16" s="142"/>
      <c r="AG16" s="143"/>
      <c r="AH16" s="144"/>
      <c r="AI16" s="148"/>
      <c r="AJ16" s="143"/>
      <c r="AK16" s="49"/>
      <c r="AL16" s="142"/>
      <c r="AM16" s="143"/>
      <c r="AN16" s="150"/>
    </row>
    <row r="17" spans="2:40" s="8" customFormat="1" ht="39.950000000000003" customHeight="1">
      <c r="B17" s="192"/>
      <c r="C17" s="193"/>
      <c r="D17" s="144"/>
      <c r="E17" s="157" t="s">
        <v>67</v>
      </c>
      <c r="F17" s="143" t="s">
        <v>40</v>
      </c>
      <c r="G17" s="154">
        <f>'4.(소화기, 매장비품)'!$D$4</f>
        <v>4885200</v>
      </c>
      <c r="H17" s="142" t="s">
        <v>67</v>
      </c>
      <c r="I17" s="143" t="s">
        <v>40</v>
      </c>
      <c r="J17" s="144">
        <f>'4.(소화기, 매장비품)'!$D$5</f>
        <v>10763400</v>
      </c>
      <c r="K17" s="148" t="s">
        <v>67</v>
      </c>
      <c r="L17" s="143" t="s">
        <v>40</v>
      </c>
      <c r="M17" s="162">
        <f>'4.(소화기, 매장비품)'!$D$6</f>
        <v>6155400</v>
      </c>
      <c r="N17" s="159" t="s">
        <v>67</v>
      </c>
      <c r="O17" s="143" t="s">
        <v>40</v>
      </c>
      <c r="P17" s="158">
        <f>'4.(소화기, 매장비품)'!$D$7</f>
        <v>4738200</v>
      </c>
      <c r="Q17" s="148" t="s">
        <v>67</v>
      </c>
      <c r="R17" s="143" t="s">
        <v>40</v>
      </c>
      <c r="S17" s="49">
        <f>'4.(소화기, 매장비품)'!$D$8</f>
        <v>5081000</v>
      </c>
      <c r="T17" s="142" t="s">
        <v>67</v>
      </c>
      <c r="U17" s="143" t="s">
        <v>40</v>
      </c>
      <c r="V17" s="144">
        <f>'4.(소화기, 매장비품)'!$D$9</f>
        <v>1914000</v>
      </c>
      <c r="W17" s="148"/>
      <c r="X17" s="143"/>
      <c r="Y17" s="49"/>
      <c r="Z17" s="142"/>
      <c r="AA17" s="143"/>
      <c r="AB17" s="144"/>
      <c r="AC17" s="160"/>
      <c r="AD17" s="143"/>
      <c r="AE17" s="49"/>
      <c r="AF17" s="142"/>
      <c r="AG17" s="143"/>
      <c r="AH17" s="144"/>
      <c r="AI17" s="148"/>
      <c r="AJ17" s="143"/>
      <c r="AK17" s="49"/>
      <c r="AL17" s="142"/>
      <c r="AM17" s="143"/>
      <c r="AN17" s="150"/>
    </row>
    <row r="18" spans="2:40" s="8" customFormat="1" ht="39.950000000000003" customHeight="1">
      <c r="B18" s="192"/>
      <c r="C18" s="193"/>
      <c r="D18" s="144"/>
      <c r="E18" s="157" t="s">
        <v>68</v>
      </c>
      <c r="F18" s="143" t="s">
        <v>47</v>
      </c>
      <c r="G18" s="154">
        <f>'4.(소화기, 매장비품)'!$F$22</f>
        <v>18274000</v>
      </c>
      <c r="H18" s="159" t="s">
        <v>68</v>
      </c>
      <c r="I18" s="143" t="s">
        <v>47</v>
      </c>
      <c r="J18" s="144">
        <f>'4.(소화기, 매장비품)'!$H$22</f>
        <v>16638000</v>
      </c>
      <c r="K18" s="119" t="s">
        <v>68</v>
      </c>
      <c r="L18" s="143" t="s">
        <v>47</v>
      </c>
      <c r="M18" s="144">
        <f>'4.(소화기, 매장비품)'!$J$22</f>
        <v>19499000</v>
      </c>
      <c r="N18" s="157" t="s">
        <v>68</v>
      </c>
      <c r="O18" s="143" t="s">
        <v>47</v>
      </c>
      <c r="P18" s="158">
        <f>'4.(소화기, 매장비품)'!$L$22</f>
        <v>19024000</v>
      </c>
      <c r="Q18" s="157" t="s">
        <v>68</v>
      </c>
      <c r="R18" s="143" t="s">
        <v>47</v>
      </c>
      <c r="S18" s="49">
        <f>'4.(소화기, 매장비품)'!$N$22</f>
        <v>20480000</v>
      </c>
      <c r="T18" s="159"/>
      <c r="U18" s="143"/>
      <c r="V18" s="163"/>
      <c r="W18" s="148"/>
      <c r="X18" s="143"/>
      <c r="Y18" s="49"/>
      <c r="Z18" s="142"/>
      <c r="AA18" s="143"/>
      <c r="AB18" s="144"/>
      <c r="AC18" s="160"/>
      <c r="AD18" s="143"/>
      <c r="AE18" s="49"/>
      <c r="AF18" s="142"/>
      <c r="AG18" s="143"/>
      <c r="AH18" s="144"/>
      <c r="AI18" s="148"/>
      <c r="AJ18" s="143"/>
      <c r="AK18" s="49"/>
      <c r="AL18" s="142"/>
      <c r="AM18" s="143"/>
      <c r="AN18" s="150"/>
    </row>
    <row r="19" spans="2:40" s="45" customFormat="1" ht="39.950000000000003" customHeight="1">
      <c r="B19" s="151"/>
      <c r="C19" s="56">
        <f>SUM(E19:AN19)</f>
        <v>199424800</v>
      </c>
      <c r="D19" s="51" t="s">
        <v>55</v>
      </c>
      <c r="E19" s="59"/>
      <c r="F19" s="50"/>
      <c r="G19" s="60">
        <f>SUM(G13:G18)</f>
        <v>90831800</v>
      </c>
      <c r="H19" s="59"/>
      <c r="I19" s="50"/>
      <c r="J19" s="60">
        <f>SUM(J13:J18)</f>
        <v>27401400</v>
      </c>
      <c r="K19" s="56"/>
      <c r="L19" s="50"/>
      <c r="M19" s="54">
        <f>SUM(M13:M18)</f>
        <v>25924400</v>
      </c>
      <c r="N19" s="59"/>
      <c r="O19" s="50"/>
      <c r="P19" s="60">
        <f>SUM(P13:P18)</f>
        <v>27792200</v>
      </c>
      <c r="Q19" s="56"/>
      <c r="R19" s="50"/>
      <c r="S19" s="54">
        <f>SUM(S13:S18)</f>
        <v>25561000</v>
      </c>
      <c r="T19" s="59"/>
      <c r="U19" s="50"/>
      <c r="V19" s="60">
        <f>SUM(V13:V18)</f>
        <v>1914000</v>
      </c>
      <c r="W19" s="56"/>
      <c r="X19" s="50"/>
      <c r="Y19" s="54">
        <f>SUM(Y13:Y18)</f>
        <v>0</v>
      </c>
      <c r="Z19" s="59"/>
      <c r="AA19" s="50"/>
      <c r="AB19" s="60">
        <f>SUM(AB13:AB18)</f>
        <v>0</v>
      </c>
      <c r="AC19" s="56"/>
      <c r="AD19" s="50"/>
      <c r="AE19" s="54">
        <f>SUM(AE13:AE18)</f>
        <v>0</v>
      </c>
      <c r="AF19" s="59"/>
      <c r="AG19" s="50"/>
      <c r="AH19" s="60">
        <f>SUM(AH13:AH18)</f>
        <v>0</v>
      </c>
      <c r="AI19" s="56"/>
      <c r="AJ19" s="50"/>
      <c r="AK19" s="54">
        <f>SUM(AK13:AK18)</f>
        <v>0</v>
      </c>
      <c r="AL19" s="59"/>
      <c r="AM19" s="50"/>
      <c r="AN19" s="54">
        <f>SUM(AN13:AN18)</f>
        <v>0</v>
      </c>
    </row>
    <row r="20" spans="2:40" s="8" customFormat="1" ht="39.950000000000003" customHeight="1">
      <c r="B20" s="194" t="s">
        <v>69</v>
      </c>
      <c r="C20" s="195"/>
      <c r="D20" s="49" t="s">
        <v>32</v>
      </c>
      <c r="E20" s="142" t="s">
        <v>70</v>
      </c>
      <c r="F20" s="143" t="s">
        <v>71</v>
      </c>
      <c r="G20" s="144">
        <v>926000</v>
      </c>
      <c r="H20" s="143" t="s">
        <v>72</v>
      </c>
      <c r="I20" s="143" t="s">
        <v>71</v>
      </c>
      <c r="J20" s="144">
        <v>310000</v>
      </c>
      <c r="K20" s="148"/>
      <c r="L20" s="143"/>
      <c r="M20" s="49"/>
      <c r="N20" s="164" t="s">
        <v>73</v>
      </c>
      <c r="O20" s="165" t="s">
        <v>71</v>
      </c>
      <c r="P20" s="152">
        <v>180000</v>
      </c>
      <c r="Q20" s="148" t="s">
        <v>74</v>
      </c>
      <c r="R20" s="143" t="s">
        <v>71</v>
      </c>
      <c r="S20" s="143">
        <v>184000</v>
      </c>
      <c r="T20" s="142"/>
      <c r="U20" s="143"/>
      <c r="V20" s="144"/>
      <c r="W20" s="148"/>
      <c r="X20" s="143"/>
      <c r="Y20" s="49"/>
      <c r="Z20" s="142"/>
      <c r="AA20" s="143"/>
      <c r="AB20" s="144"/>
      <c r="AC20" s="148"/>
      <c r="AD20" s="143"/>
      <c r="AE20" s="49"/>
      <c r="AF20" s="142"/>
      <c r="AG20" s="143"/>
      <c r="AH20" s="144"/>
      <c r="AI20" s="160"/>
      <c r="AJ20" s="143"/>
      <c r="AK20" s="49"/>
      <c r="AL20" s="142"/>
      <c r="AM20" s="143"/>
      <c r="AN20" s="166"/>
    </row>
    <row r="21" spans="2:40" s="8" customFormat="1" ht="39.950000000000003" customHeight="1">
      <c r="B21" s="192"/>
      <c r="C21" s="193"/>
      <c r="D21" s="49"/>
      <c r="E21" s="142" t="s">
        <v>75</v>
      </c>
      <c r="F21" s="143" t="s">
        <v>71</v>
      </c>
      <c r="G21" s="144">
        <v>176000</v>
      </c>
      <c r="H21" s="142"/>
      <c r="I21" s="143"/>
      <c r="J21" s="144"/>
      <c r="K21" s="148"/>
      <c r="L21" s="143"/>
      <c r="M21" s="49"/>
      <c r="N21" s="142"/>
      <c r="O21" s="143"/>
      <c r="P21" s="144"/>
      <c r="Q21" s="148"/>
      <c r="R21" s="143"/>
      <c r="S21" s="146"/>
      <c r="T21" s="142"/>
      <c r="U21" s="143"/>
      <c r="V21" s="144"/>
      <c r="W21" s="148"/>
      <c r="X21" s="143"/>
      <c r="Y21" s="49"/>
      <c r="Z21" s="142"/>
      <c r="AA21" s="143"/>
      <c r="AB21" s="144"/>
      <c r="AC21" s="148"/>
      <c r="AD21" s="143"/>
      <c r="AE21" s="49"/>
      <c r="AF21" s="142"/>
      <c r="AG21" s="143"/>
      <c r="AH21" s="144"/>
      <c r="AI21" s="148"/>
      <c r="AJ21" s="143"/>
      <c r="AK21" s="49"/>
      <c r="AL21" s="142"/>
      <c r="AM21" s="143"/>
      <c r="AN21" s="167"/>
    </row>
    <row r="22" spans="2:40" s="8" customFormat="1" ht="39.950000000000003" customHeight="1">
      <c r="B22" s="192"/>
      <c r="C22" s="193"/>
      <c r="D22" s="49"/>
      <c r="E22" s="142"/>
      <c r="F22" s="143"/>
      <c r="G22" s="144"/>
      <c r="H22" s="142"/>
      <c r="I22" s="143"/>
      <c r="J22" s="144"/>
      <c r="K22" s="148"/>
      <c r="L22" s="143"/>
      <c r="M22" s="49"/>
      <c r="N22" s="142"/>
      <c r="O22" s="143"/>
      <c r="P22" s="144"/>
      <c r="Q22" s="148"/>
      <c r="R22" s="143"/>
      <c r="S22" s="49"/>
      <c r="T22" s="142"/>
      <c r="U22" s="143"/>
      <c r="V22" s="144"/>
      <c r="W22" s="148"/>
      <c r="X22" s="143"/>
      <c r="Y22" s="49"/>
      <c r="Z22" s="142"/>
      <c r="AA22" s="143"/>
      <c r="AB22" s="144"/>
      <c r="AC22" s="148"/>
      <c r="AD22" s="143"/>
      <c r="AE22" s="49"/>
      <c r="AF22" s="142"/>
      <c r="AG22" s="143"/>
      <c r="AH22" s="144"/>
      <c r="AI22" s="148"/>
      <c r="AJ22" s="143"/>
      <c r="AK22" s="49"/>
      <c r="AL22" s="142"/>
      <c r="AM22" s="143"/>
      <c r="AN22" s="167"/>
    </row>
    <row r="23" spans="2:40" s="45" customFormat="1" ht="39.950000000000003" customHeight="1">
      <c r="B23" s="151"/>
      <c r="C23" s="56">
        <f>SUM(E23:AN23)</f>
        <v>1776000</v>
      </c>
      <c r="D23" s="51" t="s">
        <v>55</v>
      </c>
      <c r="E23" s="59"/>
      <c r="F23" s="50"/>
      <c r="G23" s="60">
        <f>SUM(G20:G22)</f>
        <v>1102000</v>
      </c>
      <c r="H23" s="59"/>
      <c r="I23" s="50"/>
      <c r="J23" s="60">
        <f>SUM(J20:J22)</f>
        <v>310000</v>
      </c>
      <c r="K23" s="56"/>
      <c r="L23" s="50"/>
      <c r="M23" s="54">
        <f>SUM(M20:M22)</f>
        <v>0</v>
      </c>
      <c r="N23" s="59"/>
      <c r="O23" s="50"/>
      <c r="P23" s="60">
        <f>SUM(P20:P22)</f>
        <v>180000</v>
      </c>
      <c r="Q23" s="56"/>
      <c r="R23" s="50"/>
      <c r="S23" s="54">
        <f>SUM(S20:S22)</f>
        <v>184000</v>
      </c>
      <c r="T23" s="59"/>
      <c r="U23" s="50"/>
      <c r="V23" s="60">
        <f>SUM(V20:V22)</f>
        <v>0</v>
      </c>
      <c r="W23" s="56"/>
      <c r="X23" s="50"/>
      <c r="Y23" s="54">
        <f>SUM(Y20:Y22)</f>
        <v>0</v>
      </c>
      <c r="Z23" s="59"/>
      <c r="AA23" s="50"/>
      <c r="AB23" s="60">
        <f>SUM(AB20:AB22)</f>
        <v>0</v>
      </c>
      <c r="AC23" s="56"/>
      <c r="AD23" s="50"/>
      <c r="AE23" s="54">
        <f>SUM(AE20:AE22)</f>
        <v>0</v>
      </c>
      <c r="AF23" s="59"/>
      <c r="AG23" s="50"/>
      <c r="AH23" s="60">
        <f>AH20+AH21+AH22</f>
        <v>0</v>
      </c>
      <c r="AI23" s="56"/>
      <c r="AJ23" s="50"/>
      <c r="AK23" s="54">
        <f>SUM(AK20:AK22)</f>
        <v>0</v>
      </c>
      <c r="AL23" s="59"/>
      <c r="AM23" s="50"/>
      <c r="AN23" s="54">
        <f>SUM(AN20:AN22)</f>
        <v>0</v>
      </c>
    </row>
    <row r="24" spans="2:40" s="8" customFormat="1" ht="39.950000000000003" customHeight="1">
      <c r="B24" s="194" t="s">
        <v>76</v>
      </c>
      <c r="C24" s="195"/>
      <c r="D24" s="49" t="s">
        <v>32</v>
      </c>
      <c r="E24" s="142" t="s">
        <v>77</v>
      </c>
      <c r="F24" s="143" t="s">
        <v>71</v>
      </c>
      <c r="G24" s="144">
        <f>'1.건강검진(안전보건,인사)'!$D$4</f>
        <v>5000000</v>
      </c>
      <c r="H24" s="142"/>
      <c r="I24" s="143"/>
      <c r="J24" s="144"/>
      <c r="K24" s="168" t="s">
        <v>78</v>
      </c>
      <c r="L24" s="143" t="s">
        <v>71</v>
      </c>
      <c r="M24" s="98">
        <v>4000000</v>
      </c>
      <c r="N24" s="169" t="s">
        <v>79</v>
      </c>
      <c r="O24" s="143" t="s">
        <v>71</v>
      </c>
      <c r="P24" s="98">
        <v>1000000</v>
      </c>
      <c r="Q24" s="169" t="s">
        <v>80</v>
      </c>
      <c r="R24" s="143" t="s">
        <v>71</v>
      </c>
      <c r="S24" s="98">
        <v>6000000</v>
      </c>
      <c r="T24" s="169" t="s">
        <v>81</v>
      </c>
      <c r="U24" s="143" t="s">
        <v>71</v>
      </c>
      <c r="V24" s="170">
        <f>(16+48)*40000</f>
        <v>2560000</v>
      </c>
      <c r="W24" s="142"/>
      <c r="X24" s="143"/>
      <c r="Y24" s="98"/>
      <c r="Z24" s="142"/>
      <c r="AA24" s="143"/>
      <c r="AB24" s="98"/>
      <c r="AC24" s="142"/>
      <c r="AD24" s="143"/>
      <c r="AE24" s="98"/>
      <c r="AF24" s="142"/>
      <c r="AG24" s="143"/>
      <c r="AH24" s="98"/>
      <c r="AI24" s="142"/>
      <c r="AJ24" s="143"/>
      <c r="AK24" s="98"/>
      <c r="AL24" s="142"/>
      <c r="AM24" s="143"/>
      <c r="AN24" s="167"/>
    </row>
    <row r="25" spans="2:40" s="8" customFormat="1" ht="39.950000000000003" customHeight="1">
      <c r="B25" s="45"/>
      <c r="C25" s="171"/>
      <c r="D25" s="144"/>
      <c r="E25" s="172" t="s">
        <v>82</v>
      </c>
      <c r="F25" s="143" t="s">
        <v>83</v>
      </c>
      <c r="G25" s="144">
        <f>'1.건강검진(안전보건,인사)'!$H$4</f>
        <v>40000</v>
      </c>
      <c r="H25" s="142"/>
      <c r="I25" s="143"/>
      <c r="J25" s="144"/>
      <c r="K25" s="172" t="s">
        <v>84</v>
      </c>
      <c r="L25" s="143" t="s">
        <v>83</v>
      </c>
      <c r="M25" s="173">
        <v>40000</v>
      </c>
      <c r="N25" s="172" t="s">
        <v>85</v>
      </c>
      <c r="O25" s="143" t="s">
        <v>83</v>
      </c>
      <c r="P25" s="174">
        <v>80000</v>
      </c>
      <c r="Q25" s="172" t="s">
        <v>86</v>
      </c>
      <c r="R25" s="143" t="s">
        <v>83</v>
      </c>
      <c r="S25" s="174">
        <v>99480</v>
      </c>
      <c r="T25" s="142"/>
      <c r="U25" s="143"/>
      <c r="V25" s="144"/>
      <c r="W25" s="142"/>
      <c r="X25" s="143"/>
      <c r="Y25" s="144"/>
      <c r="Z25" s="142"/>
      <c r="AA25" s="143"/>
      <c r="AB25" s="49"/>
      <c r="AC25" s="142"/>
      <c r="AD25" s="143"/>
      <c r="AE25" s="144"/>
      <c r="AF25" s="142"/>
      <c r="AG25" s="143"/>
      <c r="AH25" s="144"/>
      <c r="AI25" s="142"/>
      <c r="AJ25" s="143"/>
      <c r="AK25" s="144"/>
      <c r="AL25" s="142"/>
      <c r="AM25" s="143"/>
      <c r="AN25" s="167"/>
    </row>
    <row r="26" spans="2:40" s="8" customFormat="1" ht="39.950000000000003" customHeight="1">
      <c r="B26" s="45"/>
      <c r="C26" s="171"/>
      <c r="D26" s="49"/>
      <c r="E26" s="142" t="s">
        <v>87</v>
      </c>
      <c r="F26" s="143" t="s">
        <v>71</v>
      </c>
      <c r="G26" s="144">
        <f>'1.건강검진(안전보건,인사)'!$L$4</f>
        <v>33160</v>
      </c>
      <c r="H26" s="142"/>
      <c r="I26" s="143"/>
      <c r="J26" s="144"/>
      <c r="K26" s="142"/>
      <c r="L26" s="143"/>
      <c r="M26" s="144"/>
      <c r="N26" s="142"/>
      <c r="O26" s="143"/>
      <c r="P26" s="144"/>
      <c r="Q26" s="142"/>
      <c r="R26" s="143"/>
      <c r="S26" s="49"/>
      <c r="T26" s="142"/>
      <c r="U26" s="143"/>
      <c r="V26" s="144"/>
      <c r="W26" s="142"/>
      <c r="X26" s="143"/>
      <c r="Y26" s="49"/>
      <c r="Z26" s="142"/>
      <c r="AA26" s="143"/>
      <c r="AB26" s="144"/>
      <c r="AC26" s="148"/>
      <c r="AD26" s="143"/>
      <c r="AE26" s="49"/>
      <c r="AF26" s="142"/>
      <c r="AG26" s="143"/>
      <c r="AH26" s="144"/>
      <c r="AI26" s="148"/>
      <c r="AJ26" s="143"/>
      <c r="AK26" s="49"/>
      <c r="AL26" s="142"/>
      <c r="AM26" s="143"/>
      <c r="AN26" s="167"/>
    </row>
    <row r="27" spans="2:40" s="45" customFormat="1" ht="39.950000000000003" customHeight="1">
      <c r="B27" s="151"/>
      <c r="C27" s="56">
        <f>SUM(E27:AN27)</f>
        <v>18852640</v>
      </c>
      <c r="D27" s="51" t="s">
        <v>55</v>
      </c>
      <c r="E27" s="59"/>
      <c r="F27" s="50"/>
      <c r="G27" s="60">
        <f>SUM(G24:G26)</f>
        <v>5073160</v>
      </c>
      <c r="H27" s="59"/>
      <c r="I27" s="50"/>
      <c r="J27" s="60">
        <f>SUM(J24:J25)</f>
        <v>0</v>
      </c>
      <c r="K27" s="56"/>
      <c r="L27" s="50"/>
      <c r="M27" s="54">
        <f>SUM(M24:M26)</f>
        <v>4040000</v>
      </c>
      <c r="N27" s="59"/>
      <c r="O27" s="50"/>
      <c r="P27" s="60">
        <f>SUM(P24:P25)</f>
        <v>1080000</v>
      </c>
      <c r="Q27" s="56"/>
      <c r="R27" s="50"/>
      <c r="S27" s="54">
        <f>SUM(S24:S26)</f>
        <v>6099480</v>
      </c>
      <c r="T27" s="59"/>
      <c r="U27" s="50"/>
      <c r="V27" s="60">
        <f>SUM(V24:V26)</f>
        <v>2560000</v>
      </c>
      <c r="W27" s="56"/>
      <c r="X27" s="50"/>
      <c r="Y27" s="54">
        <f>SUM(Y24:Y26)</f>
        <v>0</v>
      </c>
      <c r="Z27" s="59"/>
      <c r="AA27" s="50"/>
      <c r="AB27" s="60">
        <f>SUM(AB24:AB26)</f>
        <v>0</v>
      </c>
      <c r="AC27" s="56"/>
      <c r="AD27" s="50"/>
      <c r="AE27" s="54">
        <f>SUM(AE24:AE26)</f>
        <v>0</v>
      </c>
      <c r="AF27" s="59"/>
      <c r="AG27" s="50"/>
      <c r="AH27" s="60">
        <f>SUM(AH24:AH26)</f>
        <v>0</v>
      </c>
      <c r="AI27" s="56"/>
      <c r="AJ27" s="50"/>
      <c r="AK27" s="54">
        <f>SUM(AK24:AK26)</f>
        <v>0</v>
      </c>
      <c r="AL27" s="59"/>
      <c r="AM27" s="50"/>
      <c r="AN27" s="54">
        <f>SUM(AN24:AN26)</f>
        <v>0</v>
      </c>
    </row>
    <row r="28" spans="2:40" s="8" customFormat="1" ht="39.950000000000003" customHeight="1">
      <c r="B28" s="194" t="s">
        <v>88</v>
      </c>
      <c r="C28" s="195"/>
      <c r="D28" s="49" t="s">
        <v>32</v>
      </c>
      <c r="E28" s="142"/>
      <c r="F28" s="143"/>
      <c r="G28" s="144"/>
      <c r="H28" s="142"/>
      <c r="I28" s="143"/>
      <c r="J28" s="144"/>
      <c r="K28" s="148"/>
      <c r="L28" s="143"/>
      <c r="M28" s="49"/>
      <c r="N28" s="142"/>
      <c r="O28" s="143"/>
      <c r="P28" s="144"/>
      <c r="Q28" s="148"/>
      <c r="R28" s="143"/>
      <c r="S28" s="49"/>
      <c r="T28" s="142"/>
      <c r="U28" s="143"/>
      <c r="V28" s="144"/>
      <c r="W28" s="148"/>
      <c r="X28" s="143"/>
      <c r="Y28" s="49"/>
      <c r="Z28" s="142"/>
      <c r="AA28" s="143"/>
      <c r="AB28" s="144"/>
      <c r="AC28" s="148"/>
      <c r="AD28" s="143"/>
      <c r="AE28" s="49"/>
      <c r="AF28" s="142"/>
      <c r="AG28" s="143"/>
      <c r="AH28" s="144"/>
      <c r="AI28" s="148"/>
      <c r="AJ28" s="143"/>
      <c r="AK28" s="49"/>
      <c r="AL28" s="142"/>
      <c r="AM28" s="143"/>
      <c r="AN28" s="149"/>
    </row>
    <row r="29" spans="2:40" s="8" customFormat="1" ht="39.950000000000003" customHeight="1">
      <c r="B29" s="192"/>
      <c r="C29" s="193"/>
      <c r="D29" s="49"/>
      <c r="E29" s="142"/>
      <c r="F29" s="143"/>
      <c r="G29" s="144"/>
      <c r="H29" s="142"/>
      <c r="I29" s="143"/>
      <c r="J29" s="144"/>
      <c r="K29" s="148"/>
      <c r="L29" s="143"/>
      <c r="M29" s="49"/>
      <c r="N29" s="142"/>
      <c r="O29" s="143"/>
      <c r="P29" s="144"/>
      <c r="Q29" s="148"/>
      <c r="R29" s="143"/>
      <c r="S29" s="49"/>
      <c r="T29" s="142"/>
      <c r="U29" s="143"/>
      <c r="V29" s="144"/>
      <c r="W29" s="148"/>
      <c r="X29" s="143"/>
      <c r="Y29" s="49"/>
      <c r="Z29" s="142"/>
      <c r="AA29" s="143"/>
      <c r="AB29" s="144"/>
      <c r="AC29" s="148"/>
      <c r="AD29" s="143"/>
      <c r="AE29" s="49"/>
      <c r="AF29" s="142"/>
      <c r="AG29" s="143"/>
      <c r="AH29" s="144"/>
      <c r="AI29" s="148"/>
      <c r="AJ29" s="143"/>
      <c r="AK29" s="49"/>
      <c r="AL29" s="142"/>
      <c r="AM29" s="143"/>
      <c r="AN29" s="149"/>
    </row>
    <row r="30" spans="2:40" s="45" customFormat="1" ht="39.950000000000003" customHeight="1">
      <c r="B30" s="151"/>
      <c r="C30" s="56">
        <f>SUM(E30:AN30)</f>
        <v>0</v>
      </c>
      <c r="D30" s="51" t="s">
        <v>55</v>
      </c>
      <c r="E30" s="59"/>
      <c r="F30" s="50"/>
      <c r="G30" s="60">
        <f>SUM(G28:G29)</f>
        <v>0</v>
      </c>
      <c r="H30" s="59"/>
      <c r="I30" s="50"/>
      <c r="J30" s="60">
        <f>SUM(J28:J29)</f>
        <v>0</v>
      </c>
      <c r="K30" s="56"/>
      <c r="L30" s="50"/>
      <c r="M30" s="54">
        <f>SUM(M28:M29)</f>
        <v>0</v>
      </c>
      <c r="N30" s="59"/>
      <c r="O30" s="50"/>
      <c r="P30" s="60">
        <f>SUM(P28:P29)</f>
        <v>0</v>
      </c>
      <c r="Q30" s="56"/>
      <c r="R30" s="50"/>
      <c r="S30" s="54">
        <f>SUM(S28:S29)</f>
        <v>0</v>
      </c>
      <c r="T30" s="59"/>
      <c r="U30" s="50"/>
      <c r="V30" s="60">
        <f>SUM(V28:V29)</f>
        <v>0</v>
      </c>
      <c r="W30" s="56"/>
      <c r="X30" s="50"/>
      <c r="Y30" s="54">
        <f>SUM(Y28:Y29)</f>
        <v>0</v>
      </c>
      <c r="Z30" s="59"/>
      <c r="AA30" s="50"/>
      <c r="AB30" s="60">
        <f>SUM(AB28:AB29)</f>
        <v>0</v>
      </c>
      <c r="AC30" s="56"/>
      <c r="AD30" s="50"/>
      <c r="AE30" s="54">
        <f>SUM(AE28:AE29)</f>
        <v>0</v>
      </c>
      <c r="AF30" s="59"/>
      <c r="AG30" s="50"/>
      <c r="AH30" s="60">
        <f>SUM(AH28:AH29)</f>
        <v>0</v>
      </c>
      <c r="AI30" s="56"/>
      <c r="AJ30" s="50"/>
      <c r="AK30" s="54">
        <f>SUM(AK28:AK29)</f>
        <v>0</v>
      </c>
      <c r="AL30" s="59"/>
      <c r="AM30" s="50"/>
      <c r="AN30" s="54">
        <f>SUM(AN28:AN29)</f>
        <v>0</v>
      </c>
    </row>
    <row r="31" spans="2:40" s="8" customFormat="1" ht="39.950000000000003" customHeight="1">
      <c r="B31" s="194" t="s">
        <v>89</v>
      </c>
      <c r="C31" s="195"/>
      <c r="D31" s="49" t="s">
        <v>32</v>
      </c>
      <c r="E31" s="142"/>
      <c r="F31" s="143"/>
      <c r="G31" s="144"/>
      <c r="H31" s="142"/>
      <c r="I31" s="143"/>
      <c r="J31" s="144"/>
      <c r="K31" s="148"/>
      <c r="L31" s="143"/>
      <c r="M31" s="49"/>
      <c r="N31" s="142"/>
      <c r="O31" s="143"/>
      <c r="P31" s="144"/>
      <c r="Q31" s="148" t="s">
        <v>90</v>
      </c>
      <c r="R31" s="143" t="s">
        <v>71</v>
      </c>
      <c r="S31" s="49">
        <v>385000</v>
      </c>
      <c r="T31" s="142"/>
      <c r="U31" s="143"/>
      <c r="V31" s="144"/>
      <c r="W31" s="148"/>
      <c r="X31" s="143"/>
      <c r="Y31" s="49"/>
      <c r="Z31" s="142"/>
      <c r="AA31" s="143"/>
      <c r="AB31" s="144"/>
      <c r="AC31" s="148"/>
      <c r="AD31" s="143"/>
      <c r="AE31" s="49"/>
      <c r="AF31" s="142" t="s">
        <v>91</v>
      </c>
      <c r="AG31" s="143" t="s">
        <v>71</v>
      </c>
      <c r="AH31" s="144">
        <v>29132400</v>
      </c>
      <c r="AI31" s="142"/>
      <c r="AJ31" s="143"/>
      <c r="AK31" s="144"/>
      <c r="AL31" s="169"/>
      <c r="AM31" s="168"/>
      <c r="AN31" s="175"/>
    </row>
    <row r="32" spans="2:40" s="8" customFormat="1" ht="39.950000000000003" customHeight="1">
      <c r="B32" s="192"/>
      <c r="C32" s="193"/>
      <c r="D32" s="49"/>
      <c r="E32" s="142"/>
      <c r="F32" s="143"/>
      <c r="G32" s="144"/>
      <c r="H32" s="142"/>
      <c r="I32" s="143"/>
      <c r="J32" s="144"/>
      <c r="K32" s="148"/>
      <c r="L32" s="143"/>
      <c r="M32" s="49"/>
      <c r="N32" s="142"/>
      <c r="O32" s="143"/>
      <c r="P32" s="144"/>
      <c r="Q32" s="148"/>
      <c r="R32" s="143"/>
      <c r="S32" s="49"/>
      <c r="T32" s="142"/>
      <c r="U32" s="143"/>
      <c r="V32" s="144"/>
      <c r="W32" s="148"/>
      <c r="X32" s="143"/>
      <c r="Y32" s="49"/>
      <c r="Z32" s="142"/>
      <c r="AA32" s="143"/>
      <c r="AB32" s="144"/>
      <c r="AC32" s="148"/>
      <c r="AD32" s="143"/>
      <c r="AE32" s="49"/>
      <c r="AF32" s="142"/>
      <c r="AG32" s="143"/>
      <c r="AH32" s="144"/>
      <c r="AI32" s="148"/>
      <c r="AJ32" s="143"/>
      <c r="AK32" s="49"/>
      <c r="AL32" s="176"/>
      <c r="AM32" s="177"/>
      <c r="AN32" s="178"/>
    </row>
    <row r="33" spans="2:42" s="45" customFormat="1" ht="39.950000000000003" customHeight="1">
      <c r="B33" s="151"/>
      <c r="C33" s="56">
        <f>SUM(E33:AN33)</f>
        <v>29517400</v>
      </c>
      <c r="D33" s="51" t="s">
        <v>55</v>
      </c>
      <c r="E33" s="59"/>
      <c r="F33" s="50"/>
      <c r="G33" s="60">
        <f>SUM(G31:G32)</f>
        <v>0</v>
      </c>
      <c r="H33" s="59"/>
      <c r="I33" s="50"/>
      <c r="J33" s="60">
        <f>SUM(J31:J32)</f>
        <v>0</v>
      </c>
      <c r="K33" s="56"/>
      <c r="L33" s="50"/>
      <c r="M33" s="54">
        <f>SUM(M31:M32)</f>
        <v>0</v>
      </c>
      <c r="N33" s="59"/>
      <c r="O33" s="50"/>
      <c r="P33" s="60">
        <f>SUM(P31:P32)</f>
        <v>0</v>
      </c>
      <c r="Q33" s="56"/>
      <c r="R33" s="50"/>
      <c r="S33" s="54">
        <f>SUM(S31:S32)</f>
        <v>385000</v>
      </c>
      <c r="T33" s="59"/>
      <c r="U33" s="50"/>
      <c r="V33" s="60">
        <f>SUM(V31:V32)</f>
        <v>0</v>
      </c>
      <c r="W33" s="56"/>
      <c r="X33" s="50"/>
      <c r="Y33" s="54">
        <f>SUM(Y31:Y32)</f>
        <v>0</v>
      </c>
      <c r="Z33" s="59"/>
      <c r="AA33" s="50"/>
      <c r="AB33" s="60">
        <f>SUM(AB31:AB32)</f>
        <v>0</v>
      </c>
      <c r="AC33" s="56"/>
      <c r="AD33" s="50"/>
      <c r="AE33" s="54">
        <f>SUM(AE31:AE32)</f>
        <v>0</v>
      </c>
      <c r="AF33" s="59"/>
      <c r="AG33" s="50"/>
      <c r="AH33" s="60">
        <f>SUM(AH31:AH32)</f>
        <v>29132400</v>
      </c>
      <c r="AI33" s="56"/>
      <c r="AJ33" s="50"/>
      <c r="AK33" s="54">
        <f>AK31</f>
        <v>0</v>
      </c>
      <c r="AL33" s="59"/>
      <c r="AM33" s="50"/>
      <c r="AN33" s="54">
        <f>SUM(AN31:AN32)</f>
        <v>0</v>
      </c>
    </row>
    <row r="34" spans="2:42" s="8" customFormat="1" ht="39.950000000000003" customHeight="1">
      <c r="B34" s="194" t="s">
        <v>92</v>
      </c>
      <c r="C34" s="195"/>
      <c r="D34" s="49" t="s">
        <v>32</v>
      </c>
      <c r="E34" s="142"/>
      <c r="F34" s="143"/>
      <c r="G34" s="144"/>
      <c r="H34" s="143"/>
      <c r="I34" s="143"/>
      <c r="J34" s="49"/>
      <c r="K34" s="164"/>
      <c r="L34" s="143"/>
      <c r="M34" s="49"/>
      <c r="N34" s="142"/>
      <c r="O34" s="143"/>
      <c r="P34" s="144"/>
      <c r="Q34" s="148"/>
      <c r="R34" s="143"/>
      <c r="S34" s="49"/>
      <c r="T34" s="142"/>
      <c r="U34" s="143"/>
      <c r="V34" s="144"/>
      <c r="W34" s="148"/>
      <c r="X34" s="143"/>
      <c r="Y34" s="49"/>
      <c r="Z34" s="142"/>
      <c r="AA34" s="143"/>
      <c r="AB34" s="144"/>
      <c r="AC34" s="148"/>
      <c r="AD34" s="143"/>
      <c r="AE34" s="49"/>
      <c r="AF34" s="142"/>
      <c r="AG34" s="143"/>
      <c r="AH34" s="144"/>
      <c r="AI34" s="148"/>
      <c r="AJ34" s="143"/>
      <c r="AK34" s="49"/>
      <c r="AL34" s="142"/>
      <c r="AM34" s="143"/>
      <c r="AN34" s="150"/>
    </row>
    <row r="35" spans="2:42" s="8" customFormat="1" ht="39.950000000000003" customHeight="1">
      <c r="B35" s="125"/>
      <c r="C35" s="126"/>
      <c r="D35" s="49"/>
      <c r="E35" s="57"/>
      <c r="F35" s="30"/>
      <c r="G35" s="58"/>
      <c r="H35" s="3"/>
      <c r="I35" s="30"/>
      <c r="J35" s="179"/>
      <c r="K35" s="57"/>
      <c r="L35" s="30"/>
      <c r="M35" s="55"/>
      <c r="N35" s="57"/>
      <c r="O35" s="30"/>
      <c r="P35" s="58"/>
      <c r="Q35" s="52"/>
      <c r="R35" s="30"/>
      <c r="S35" s="55"/>
      <c r="T35" s="57"/>
      <c r="U35" s="30"/>
      <c r="V35" s="58"/>
      <c r="W35" s="52"/>
      <c r="X35" s="30"/>
      <c r="Y35" s="55"/>
      <c r="Z35" s="57"/>
      <c r="AA35" s="30"/>
      <c r="AB35" s="58"/>
      <c r="AC35" s="52"/>
      <c r="AD35" s="30"/>
      <c r="AE35" s="55"/>
      <c r="AF35" s="57"/>
      <c r="AG35" s="30"/>
      <c r="AH35" s="58"/>
      <c r="AI35" s="52"/>
      <c r="AJ35" s="30"/>
      <c r="AK35" s="55"/>
      <c r="AL35" s="57"/>
      <c r="AM35" s="30"/>
    </row>
    <row r="36" spans="2:42" s="45" customFormat="1" ht="39.950000000000003" customHeight="1">
      <c r="B36" s="64"/>
      <c r="C36" s="56">
        <f>SUM(E36:AN36)</f>
        <v>0</v>
      </c>
      <c r="D36" s="51" t="s">
        <v>55</v>
      </c>
      <c r="E36" s="59"/>
      <c r="F36" s="50"/>
      <c r="G36" s="60">
        <f>SUM(G34:G35)</f>
        <v>0</v>
      </c>
      <c r="H36" s="59"/>
      <c r="I36" s="50"/>
      <c r="J36" s="60">
        <f>SUM(J34:J35)</f>
        <v>0</v>
      </c>
      <c r="K36" s="56"/>
      <c r="L36" s="50"/>
      <c r="M36" s="60">
        <f>SUM(M34)</f>
        <v>0</v>
      </c>
      <c r="N36" s="59"/>
      <c r="O36" s="50"/>
      <c r="P36" s="60"/>
      <c r="Q36" s="56"/>
      <c r="R36" s="50"/>
      <c r="S36" s="60">
        <f>SUM(S34)</f>
        <v>0</v>
      </c>
      <c r="T36" s="59"/>
      <c r="U36" s="50"/>
      <c r="V36" s="60">
        <f>SUM(V34)</f>
        <v>0</v>
      </c>
      <c r="W36" s="56"/>
      <c r="X36" s="50"/>
      <c r="Y36" s="60">
        <f>SUM(Y34)</f>
        <v>0</v>
      </c>
      <c r="Z36" s="59"/>
      <c r="AA36" s="50"/>
      <c r="AB36" s="60">
        <f>SUM(AB34)</f>
        <v>0</v>
      </c>
      <c r="AC36" s="56"/>
      <c r="AD36" s="50"/>
      <c r="AE36" s="60">
        <f>SUM(AE34)</f>
        <v>0</v>
      </c>
      <c r="AF36" s="59"/>
      <c r="AG36" s="50"/>
      <c r="AH36" s="60">
        <f>SUM(AH34)</f>
        <v>0</v>
      </c>
      <c r="AI36" s="56"/>
      <c r="AJ36" s="50"/>
      <c r="AK36" s="60">
        <f>SUM(AK34)</f>
        <v>0</v>
      </c>
      <c r="AL36" s="59"/>
      <c r="AM36" s="50"/>
      <c r="AN36" s="54">
        <f>SUM(AN34)</f>
        <v>0</v>
      </c>
    </row>
    <row r="37" spans="2:42" s="8" customFormat="1" ht="39.950000000000003" customHeight="1">
      <c r="B37" s="186" t="s">
        <v>93</v>
      </c>
      <c r="C37" s="187"/>
      <c r="D37" s="49" t="s">
        <v>32</v>
      </c>
      <c r="E37" s="57"/>
      <c r="F37" s="30"/>
      <c r="G37" s="58"/>
      <c r="H37" s="57"/>
      <c r="I37" s="30"/>
      <c r="J37" s="58"/>
      <c r="K37" s="52"/>
      <c r="L37" s="30"/>
      <c r="M37" s="58"/>
      <c r="N37" s="57"/>
      <c r="O37" s="30"/>
      <c r="P37" s="58"/>
      <c r="Q37" s="52"/>
      <c r="R37" s="30"/>
      <c r="S37" s="58"/>
      <c r="T37" s="57"/>
      <c r="U37" s="30"/>
      <c r="V37" s="58"/>
      <c r="W37" s="52"/>
      <c r="X37" s="30"/>
      <c r="Y37" s="58"/>
      <c r="Z37" s="57"/>
      <c r="AA37" s="30"/>
      <c r="AB37" s="58"/>
      <c r="AC37" s="52"/>
      <c r="AD37" s="30"/>
      <c r="AE37" s="58"/>
      <c r="AF37" s="57"/>
      <c r="AG37" s="30"/>
      <c r="AH37" s="58"/>
      <c r="AI37" s="52"/>
      <c r="AJ37" s="30"/>
      <c r="AK37" s="58"/>
      <c r="AL37" s="57"/>
      <c r="AM37" s="30"/>
      <c r="AN37" s="55"/>
    </row>
    <row r="38" spans="2:42" s="45" customFormat="1" ht="39.950000000000003" customHeight="1">
      <c r="B38" s="64"/>
      <c r="C38" s="56">
        <f>SUM(E38:AN38)</f>
        <v>0</v>
      </c>
      <c r="D38" s="51" t="s">
        <v>55</v>
      </c>
      <c r="E38" s="59"/>
      <c r="F38" s="50"/>
      <c r="G38" s="60">
        <f>SUM(G37)</f>
        <v>0</v>
      </c>
      <c r="H38" s="59"/>
      <c r="I38" s="50"/>
      <c r="J38" s="60">
        <f>SUM(J37)</f>
        <v>0</v>
      </c>
      <c r="K38" s="56"/>
      <c r="L38" s="50"/>
      <c r="M38" s="60">
        <f>SUM(M37)</f>
        <v>0</v>
      </c>
      <c r="N38" s="59"/>
      <c r="O38" s="50"/>
      <c r="P38" s="60"/>
      <c r="Q38" s="56"/>
      <c r="R38" s="50"/>
      <c r="S38" s="60">
        <f>SUM(S37)</f>
        <v>0</v>
      </c>
      <c r="T38" s="59"/>
      <c r="U38" s="50"/>
      <c r="V38" s="60">
        <f>SUM(V37)</f>
        <v>0</v>
      </c>
      <c r="W38" s="56"/>
      <c r="X38" s="50"/>
      <c r="Y38" s="60">
        <f>SUM(Y37)</f>
        <v>0</v>
      </c>
      <c r="Z38" s="59"/>
      <c r="AA38" s="50"/>
      <c r="AB38" s="60">
        <f>SUM(AB37)</f>
        <v>0</v>
      </c>
      <c r="AC38" s="56"/>
      <c r="AD38" s="50"/>
      <c r="AE38" s="60">
        <f>SUM(AE37)</f>
        <v>0</v>
      </c>
      <c r="AF38" s="59"/>
      <c r="AG38" s="50"/>
      <c r="AH38" s="60">
        <f>SUM(AH37)</f>
        <v>0</v>
      </c>
      <c r="AI38" s="56"/>
      <c r="AJ38" s="50"/>
      <c r="AK38" s="60">
        <f>SUM(AK37)</f>
        <v>0</v>
      </c>
      <c r="AL38" s="59"/>
      <c r="AM38" s="50"/>
      <c r="AN38" s="54">
        <f>SUM(AN37)</f>
        <v>0</v>
      </c>
    </row>
    <row r="39" spans="2:42" s="8" customFormat="1" ht="39.950000000000003" customHeight="1">
      <c r="B39" s="186" t="s">
        <v>94</v>
      </c>
      <c r="C39" s="187"/>
      <c r="D39" s="49" t="s">
        <v>32</v>
      </c>
      <c r="E39" s="57"/>
      <c r="F39" s="30"/>
      <c r="G39" s="58"/>
      <c r="H39" s="57"/>
      <c r="I39" s="30"/>
      <c r="J39" s="58"/>
      <c r="K39" s="52"/>
      <c r="L39" s="30"/>
      <c r="M39" s="58"/>
      <c r="N39" s="57"/>
      <c r="O39" s="30"/>
      <c r="P39" s="58"/>
      <c r="Q39" s="52" t="s">
        <v>95</v>
      </c>
      <c r="R39" s="30"/>
      <c r="S39" s="58">
        <v>650000</v>
      </c>
      <c r="T39" s="57"/>
      <c r="U39" s="30"/>
      <c r="V39" s="58"/>
      <c r="W39" s="52"/>
      <c r="X39" s="30"/>
      <c r="Y39" s="58"/>
      <c r="Z39" s="57"/>
      <c r="AA39" s="30"/>
      <c r="AB39" s="58"/>
      <c r="AC39" s="52"/>
      <c r="AD39" s="30"/>
      <c r="AE39" s="58"/>
      <c r="AF39" s="57"/>
      <c r="AG39" s="30"/>
      <c r="AH39" s="58"/>
      <c r="AI39" s="52"/>
      <c r="AJ39" s="30"/>
      <c r="AK39" s="58"/>
      <c r="AL39" s="57"/>
      <c r="AM39" s="30"/>
      <c r="AN39" s="55"/>
    </row>
    <row r="40" spans="2:42" s="45" customFormat="1" ht="39.950000000000003" customHeight="1">
      <c r="B40" s="64"/>
      <c r="C40" s="56">
        <f>SUM(E40:AN40)</f>
        <v>650000</v>
      </c>
      <c r="D40" s="51" t="s">
        <v>55</v>
      </c>
      <c r="E40" s="59"/>
      <c r="F40" s="50"/>
      <c r="G40" s="60">
        <f>SUM(G39)</f>
        <v>0</v>
      </c>
      <c r="H40" s="59"/>
      <c r="I40" s="50"/>
      <c r="J40" s="60">
        <f>SUM(J39)</f>
        <v>0</v>
      </c>
      <c r="K40" s="56"/>
      <c r="L40" s="50"/>
      <c r="M40" s="60">
        <f>SUM(M39)</f>
        <v>0</v>
      </c>
      <c r="N40" s="59"/>
      <c r="O40" s="50"/>
      <c r="P40" s="60">
        <f>SUM(P39)</f>
        <v>0</v>
      </c>
      <c r="Q40" s="56"/>
      <c r="R40" s="50"/>
      <c r="S40" s="60">
        <f>SUM(S39)</f>
        <v>650000</v>
      </c>
      <c r="T40" s="59"/>
      <c r="U40" s="50"/>
      <c r="V40" s="60">
        <f>SUM(V39)</f>
        <v>0</v>
      </c>
      <c r="W40" s="56"/>
      <c r="X40" s="50"/>
      <c r="Y40" s="60">
        <f>SUM(Y39)</f>
        <v>0</v>
      </c>
      <c r="Z40" s="59"/>
      <c r="AA40" s="50"/>
      <c r="AB40" s="60">
        <f>SUM(AB39)</f>
        <v>0</v>
      </c>
      <c r="AC40" s="56"/>
      <c r="AD40" s="50"/>
      <c r="AE40" s="60">
        <f>SUM(AE39)</f>
        <v>0</v>
      </c>
      <c r="AF40" s="59"/>
      <c r="AG40" s="50"/>
      <c r="AH40" s="60">
        <f>SUM(AH39)</f>
        <v>0</v>
      </c>
      <c r="AI40" s="56"/>
      <c r="AJ40" s="50"/>
      <c r="AK40" s="60">
        <f>SUM(AK39)</f>
        <v>0</v>
      </c>
      <c r="AL40" s="59"/>
      <c r="AM40" s="50"/>
      <c r="AN40" s="54">
        <f>SUM(AN39)</f>
        <v>0</v>
      </c>
    </row>
    <row r="41" spans="2:42" s="8" customFormat="1" ht="39.950000000000003" customHeight="1">
      <c r="B41" s="186" t="s">
        <v>96</v>
      </c>
      <c r="C41" s="187"/>
      <c r="D41" s="49" t="s">
        <v>32</v>
      </c>
      <c r="E41" s="57" t="s">
        <v>97</v>
      </c>
      <c r="F41" s="30" t="s">
        <v>98</v>
      </c>
      <c r="G41" s="58">
        <v>270000</v>
      </c>
      <c r="H41" s="57" t="s">
        <v>97</v>
      </c>
      <c r="I41" s="30" t="s">
        <v>98</v>
      </c>
      <c r="J41" s="58">
        <v>270000</v>
      </c>
      <c r="K41" s="57" t="s">
        <v>97</v>
      </c>
      <c r="L41" s="30" t="s">
        <v>98</v>
      </c>
      <c r="M41" s="58">
        <v>270000</v>
      </c>
      <c r="N41" s="57" t="s">
        <v>99</v>
      </c>
      <c r="O41" s="30" t="s">
        <v>98</v>
      </c>
      <c r="P41" s="58">
        <v>310000</v>
      </c>
      <c r="Q41" s="57" t="s">
        <v>99</v>
      </c>
      <c r="R41" s="30" t="s">
        <v>98</v>
      </c>
      <c r="S41" s="58">
        <v>320000</v>
      </c>
      <c r="T41" s="57"/>
      <c r="U41" s="30"/>
      <c r="V41" s="58"/>
      <c r="W41" s="57"/>
      <c r="X41" s="30"/>
      <c r="Y41" s="58"/>
      <c r="Z41" s="57"/>
      <c r="AA41" s="30"/>
      <c r="AB41" s="58"/>
      <c r="AC41" s="57"/>
      <c r="AD41" s="30"/>
      <c r="AE41" s="58"/>
      <c r="AF41" s="57"/>
      <c r="AG41" s="30"/>
      <c r="AH41" s="58"/>
      <c r="AI41" s="57"/>
      <c r="AJ41" s="30"/>
      <c r="AK41" s="58"/>
      <c r="AL41" s="57"/>
      <c r="AM41" s="30"/>
      <c r="AN41" s="55"/>
      <c r="AP41" s="82"/>
    </row>
    <row r="42" spans="2:42" s="8" customFormat="1" ht="39.950000000000003" customHeight="1">
      <c r="B42" s="188"/>
      <c r="C42" s="189"/>
      <c r="D42" s="49"/>
      <c r="E42" s="57" t="s">
        <v>100</v>
      </c>
      <c r="F42" s="30" t="s">
        <v>101</v>
      </c>
      <c r="G42" s="58">
        <v>160700</v>
      </c>
      <c r="H42" s="57" t="s">
        <v>100</v>
      </c>
      <c r="I42" s="30" t="s">
        <v>101</v>
      </c>
      <c r="J42" s="58">
        <v>160700</v>
      </c>
      <c r="K42" s="57" t="s">
        <v>100</v>
      </c>
      <c r="L42" s="30" t="s">
        <v>101</v>
      </c>
      <c r="M42" s="58">
        <v>160700</v>
      </c>
      <c r="N42" s="57" t="s">
        <v>100</v>
      </c>
      <c r="O42" s="30" t="s">
        <v>101</v>
      </c>
      <c r="P42" s="58">
        <v>160700</v>
      </c>
      <c r="Q42" s="57" t="s">
        <v>100</v>
      </c>
      <c r="R42" s="30" t="s">
        <v>101</v>
      </c>
      <c r="S42" s="58">
        <v>160700</v>
      </c>
      <c r="T42" s="57"/>
      <c r="U42" s="30"/>
      <c r="V42" s="58"/>
      <c r="W42" s="57"/>
      <c r="X42" s="30"/>
      <c r="Y42" s="58"/>
      <c r="Z42" s="57"/>
      <c r="AA42" s="30"/>
      <c r="AB42" s="58"/>
      <c r="AC42" s="57"/>
      <c r="AD42" s="30"/>
      <c r="AE42" s="58"/>
      <c r="AF42" s="57"/>
      <c r="AG42" s="30"/>
      <c r="AH42" s="58"/>
      <c r="AI42" s="57"/>
      <c r="AJ42" s="30"/>
      <c r="AK42" s="58"/>
      <c r="AL42" s="57"/>
      <c r="AM42" s="30"/>
      <c r="AN42" s="55"/>
      <c r="AP42" s="82"/>
    </row>
    <row r="43" spans="2:42" s="8" customFormat="1" ht="39.950000000000003" customHeight="1">
      <c r="B43" s="188"/>
      <c r="C43" s="189"/>
      <c r="D43" s="49"/>
      <c r="E43" s="57" t="s">
        <v>102</v>
      </c>
      <c r="F43" s="30" t="s">
        <v>71</v>
      </c>
      <c r="G43" s="58">
        <v>85818</v>
      </c>
      <c r="H43" s="57" t="s">
        <v>102</v>
      </c>
      <c r="I43" s="30" t="s">
        <v>71</v>
      </c>
      <c r="J43" s="58">
        <v>83728</v>
      </c>
      <c r="K43" s="57" t="s">
        <v>102</v>
      </c>
      <c r="L43" s="30" t="s">
        <v>71</v>
      </c>
      <c r="M43" s="58">
        <v>117546</v>
      </c>
      <c r="N43" s="57" t="s">
        <v>102</v>
      </c>
      <c r="O43" s="30" t="s">
        <v>71</v>
      </c>
      <c r="P43" s="58">
        <v>99090</v>
      </c>
      <c r="Q43" s="57" t="s">
        <v>102</v>
      </c>
      <c r="R43" s="30" t="s">
        <v>71</v>
      </c>
      <c r="S43" s="58">
        <v>134547</v>
      </c>
      <c r="T43" s="57" t="s">
        <v>102</v>
      </c>
      <c r="U43" s="30" t="s">
        <v>71</v>
      </c>
      <c r="V43" s="58">
        <v>55364</v>
      </c>
      <c r="W43" s="57"/>
      <c r="X43" s="30"/>
      <c r="Y43" s="58"/>
      <c r="Z43" s="57"/>
      <c r="AA43" s="30"/>
      <c r="AB43" s="58"/>
      <c r="AC43" s="57"/>
      <c r="AD43" s="30"/>
      <c r="AE43" s="58"/>
      <c r="AF43" s="57"/>
      <c r="AG43" s="30"/>
      <c r="AH43" s="58"/>
      <c r="AI43" s="57"/>
      <c r="AJ43" s="30"/>
      <c r="AK43" s="58"/>
      <c r="AL43" s="57"/>
      <c r="AM43" s="30"/>
      <c r="AN43" s="55"/>
      <c r="AP43" s="82"/>
    </row>
    <row r="44" spans="2:42" s="8" customFormat="1" ht="39.950000000000003" customHeight="1">
      <c r="B44" s="188"/>
      <c r="C44" s="189"/>
      <c r="D44" s="49"/>
      <c r="E44" s="57" t="s">
        <v>103</v>
      </c>
      <c r="F44" s="30" t="s">
        <v>104</v>
      </c>
      <c r="G44" s="58">
        <v>360000</v>
      </c>
      <c r="H44" s="30"/>
      <c r="I44" s="30"/>
      <c r="J44" s="58"/>
      <c r="K44" s="52"/>
      <c r="L44" s="30"/>
      <c r="M44" s="55"/>
      <c r="N44" s="57"/>
      <c r="O44" s="30"/>
      <c r="P44" s="58"/>
      <c r="Q44" s="52"/>
      <c r="R44" s="30"/>
      <c r="S44" s="55"/>
      <c r="T44" s="57"/>
      <c r="U44" s="30"/>
      <c r="V44" s="58"/>
      <c r="W44" s="57"/>
      <c r="X44" s="30"/>
      <c r="Y44" s="58"/>
      <c r="Z44" s="57"/>
      <c r="AA44" s="30"/>
      <c r="AB44" s="58"/>
      <c r="AC44" s="57"/>
      <c r="AD44" s="30"/>
      <c r="AE44" s="58"/>
      <c r="AF44" s="57"/>
      <c r="AG44" s="30"/>
      <c r="AH44" s="58"/>
      <c r="AI44" s="57"/>
      <c r="AJ44" s="30"/>
      <c r="AK44" s="58"/>
      <c r="AL44" s="57"/>
      <c r="AM44" s="30"/>
      <c r="AN44" s="55"/>
    </row>
    <row r="45" spans="2:42" s="8" customFormat="1" ht="39.950000000000003" customHeight="1">
      <c r="B45" s="188"/>
      <c r="C45" s="189"/>
      <c r="D45" s="49"/>
      <c r="E45" s="57" t="s">
        <v>105</v>
      </c>
      <c r="F45" s="30" t="s">
        <v>104</v>
      </c>
      <c r="G45" s="58">
        <v>250000</v>
      </c>
      <c r="H45" s="30"/>
      <c r="I45" s="30"/>
      <c r="J45" s="58"/>
      <c r="K45" s="52"/>
      <c r="L45" s="30"/>
      <c r="M45" s="55"/>
      <c r="N45" s="57"/>
      <c r="O45" s="30"/>
      <c r="P45" s="58"/>
      <c r="Q45" s="52"/>
      <c r="R45" s="30"/>
      <c r="S45" s="55"/>
      <c r="T45" s="57"/>
      <c r="U45" s="30"/>
      <c r="V45" s="58"/>
      <c r="W45" s="57"/>
      <c r="X45" s="30"/>
      <c r="Y45" s="55"/>
      <c r="Z45" s="57"/>
      <c r="AA45" s="30"/>
      <c r="AB45" s="58"/>
      <c r="AC45" s="52"/>
      <c r="AD45" s="30"/>
      <c r="AE45" s="55"/>
      <c r="AF45" s="57"/>
      <c r="AG45" s="30"/>
      <c r="AH45" s="58"/>
      <c r="AI45" s="57"/>
      <c r="AJ45" s="30"/>
      <c r="AK45" s="58"/>
      <c r="AL45" s="57"/>
      <c r="AM45" s="30"/>
      <c r="AN45" s="55"/>
    </row>
    <row r="46" spans="2:42" s="8" customFormat="1" ht="39.950000000000003" customHeight="1">
      <c r="B46" s="188"/>
      <c r="C46" s="189"/>
      <c r="D46" s="49"/>
      <c r="E46" s="57"/>
      <c r="F46" s="30"/>
      <c r="G46" s="58"/>
      <c r="H46" s="57"/>
      <c r="I46" s="30"/>
      <c r="J46" s="58"/>
      <c r="K46" s="52"/>
      <c r="L46" s="30"/>
      <c r="M46" s="55"/>
      <c r="N46" s="57"/>
      <c r="O46" s="30"/>
      <c r="P46" s="58"/>
      <c r="Q46" s="52"/>
      <c r="R46" s="30"/>
      <c r="S46" s="55"/>
      <c r="T46" s="57"/>
      <c r="U46" s="30"/>
      <c r="V46" s="58"/>
      <c r="W46" s="52"/>
      <c r="X46" s="30"/>
      <c r="Y46" s="55"/>
      <c r="Z46" s="57"/>
      <c r="AA46" s="30"/>
      <c r="AB46" s="58"/>
      <c r="AC46" s="52"/>
      <c r="AD46" s="30"/>
      <c r="AE46" s="55"/>
      <c r="AF46" s="57"/>
      <c r="AG46" s="30"/>
      <c r="AH46" s="58"/>
      <c r="AI46" s="57"/>
      <c r="AJ46" s="30"/>
      <c r="AK46" s="58"/>
      <c r="AL46" s="57"/>
      <c r="AM46" s="30"/>
      <c r="AN46" s="55"/>
    </row>
    <row r="47" spans="2:42" s="45" customFormat="1" ht="39.950000000000003" customHeight="1">
      <c r="B47" s="64"/>
      <c r="C47" s="56">
        <f>SUM(E47:AO47)</f>
        <v>3429593</v>
      </c>
      <c r="D47" s="51" t="s">
        <v>55</v>
      </c>
      <c r="E47" s="59"/>
      <c r="F47" s="50"/>
      <c r="G47" s="60">
        <f>SUM(G41:G46)</f>
        <v>1126518</v>
      </c>
      <c r="H47" s="59"/>
      <c r="I47" s="50"/>
      <c r="J47" s="60">
        <f>SUM(J41:J46)</f>
        <v>514428</v>
      </c>
      <c r="K47" s="56"/>
      <c r="L47" s="50"/>
      <c r="M47" s="60">
        <f>SUM(M41:M46)</f>
        <v>548246</v>
      </c>
      <c r="N47" s="59"/>
      <c r="O47" s="50"/>
      <c r="P47" s="60">
        <f>SUM(P41:P46)</f>
        <v>569790</v>
      </c>
      <c r="Q47" s="56"/>
      <c r="R47" s="50"/>
      <c r="S47" s="60">
        <f>SUM(S41:S46)</f>
        <v>615247</v>
      </c>
      <c r="T47" s="59"/>
      <c r="U47" s="50"/>
      <c r="V47" s="60">
        <f>SUM(V41:V46)</f>
        <v>55364</v>
      </c>
      <c r="W47" s="56"/>
      <c r="X47" s="50"/>
      <c r="Y47" s="60">
        <f>SUM(Y41:Y46)</f>
        <v>0</v>
      </c>
      <c r="Z47" s="59"/>
      <c r="AA47" s="50"/>
      <c r="AB47" s="60">
        <f>SUM(AB41:AB46)</f>
        <v>0</v>
      </c>
      <c r="AC47" s="56"/>
      <c r="AD47" s="50"/>
      <c r="AE47" s="60">
        <f>SUM(AE41:AE46)</f>
        <v>0</v>
      </c>
      <c r="AF47" s="59"/>
      <c r="AG47" s="50"/>
      <c r="AH47" s="60">
        <f>SUM(AH41:AH46)</f>
        <v>0</v>
      </c>
      <c r="AI47" s="56"/>
      <c r="AJ47" s="50"/>
      <c r="AK47" s="54">
        <f>SUM(AK41:AK46)</f>
        <v>0</v>
      </c>
      <c r="AL47" s="59"/>
      <c r="AM47" s="50"/>
      <c r="AN47" s="54">
        <f>SUM(AN41:AN46)</f>
        <v>0</v>
      </c>
    </row>
    <row r="48" spans="2:42" s="8" customFormat="1" ht="39.950000000000003" customHeight="1">
      <c r="B48" s="186" t="s">
        <v>106</v>
      </c>
      <c r="C48" s="187"/>
      <c r="D48" s="53" t="s">
        <v>32</v>
      </c>
      <c r="E48" s="61"/>
      <c r="F48" s="30"/>
      <c r="G48" s="62"/>
      <c r="H48" s="61"/>
      <c r="I48" s="30"/>
      <c r="J48" s="62"/>
      <c r="K48" s="77"/>
      <c r="L48" s="30"/>
      <c r="M48" s="75"/>
      <c r="N48" s="61"/>
      <c r="O48" s="30"/>
      <c r="P48" s="62"/>
      <c r="Q48" s="77"/>
      <c r="R48" s="30"/>
      <c r="S48" s="75"/>
      <c r="T48" s="61"/>
      <c r="U48" s="30"/>
      <c r="V48" s="62"/>
      <c r="W48" s="77"/>
      <c r="X48" s="30"/>
      <c r="Y48" s="75"/>
      <c r="Z48" s="61"/>
      <c r="AA48" s="30"/>
      <c r="AB48" s="62"/>
      <c r="AC48" s="77"/>
      <c r="AD48" s="78"/>
      <c r="AE48" s="75"/>
      <c r="AF48" s="61"/>
      <c r="AG48" s="78"/>
      <c r="AH48" s="62"/>
      <c r="AI48" s="77"/>
      <c r="AJ48" s="78"/>
      <c r="AK48" s="75"/>
      <c r="AL48" s="61"/>
      <c r="AM48" s="78"/>
    </row>
    <row r="49" spans="2:40" s="8" customFormat="1" ht="39.950000000000003" customHeight="1">
      <c r="B49" s="188"/>
      <c r="C49" s="189"/>
      <c r="D49" s="53"/>
      <c r="E49" s="61"/>
      <c r="F49" s="30"/>
      <c r="G49" s="62"/>
      <c r="H49" s="61"/>
      <c r="I49" s="30"/>
      <c r="J49" s="62"/>
      <c r="K49" s="77"/>
      <c r="L49" s="30"/>
      <c r="M49" s="75"/>
      <c r="N49" s="61"/>
      <c r="O49" s="30"/>
      <c r="P49" s="62"/>
      <c r="Q49" s="77"/>
      <c r="R49" s="30"/>
      <c r="S49" s="75"/>
      <c r="T49" s="61"/>
      <c r="U49" s="30"/>
      <c r="V49" s="62"/>
      <c r="W49" s="77"/>
      <c r="X49" s="30"/>
      <c r="Y49" s="75"/>
      <c r="Z49" s="61"/>
      <c r="AA49" s="30"/>
      <c r="AB49" s="62"/>
      <c r="AC49" s="77"/>
      <c r="AD49" s="78"/>
      <c r="AE49" s="75"/>
      <c r="AF49" s="61"/>
      <c r="AG49" s="78"/>
      <c r="AH49" s="62"/>
      <c r="AI49" s="77"/>
      <c r="AJ49" s="78"/>
      <c r="AK49" s="75"/>
      <c r="AL49" s="61"/>
      <c r="AM49" s="78"/>
    </row>
    <row r="50" spans="2:40" s="8" customFormat="1" ht="39.950000000000003" customHeight="1">
      <c r="B50" s="188"/>
      <c r="C50" s="189"/>
      <c r="D50" s="53"/>
      <c r="E50" s="61"/>
      <c r="F50" s="30"/>
      <c r="G50" s="62"/>
      <c r="H50" s="61"/>
      <c r="I50" s="30"/>
      <c r="J50" s="62"/>
      <c r="K50" s="77"/>
      <c r="L50" s="30"/>
      <c r="M50" s="75"/>
      <c r="N50" s="61"/>
      <c r="O50" s="30"/>
      <c r="P50" s="62"/>
      <c r="Q50" s="77"/>
      <c r="R50" s="30"/>
      <c r="S50" s="75"/>
      <c r="T50" s="61"/>
      <c r="U50" s="30"/>
      <c r="V50" s="62"/>
      <c r="W50" s="77"/>
      <c r="X50" s="30"/>
      <c r="Y50" s="75"/>
      <c r="Z50" s="61"/>
      <c r="AA50" s="30"/>
      <c r="AB50" s="62"/>
      <c r="AC50" s="77"/>
      <c r="AD50" s="78"/>
      <c r="AE50" s="75"/>
      <c r="AF50" s="61"/>
      <c r="AG50" s="78"/>
      <c r="AH50" s="62"/>
      <c r="AI50" s="77"/>
      <c r="AJ50" s="78"/>
      <c r="AK50" s="75"/>
      <c r="AL50" s="61"/>
      <c r="AM50" s="78"/>
    </row>
    <row r="51" spans="2:40" s="45" customFormat="1" ht="39.950000000000003" customHeight="1">
      <c r="B51" s="64"/>
      <c r="C51" s="56">
        <f>SUM(E51:AN51)</f>
        <v>0</v>
      </c>
      <c r="D51" s="65" t="s">
        <v>55</v>
      </c>
      <c r="E51" s="66"/>
      <c r="F51" s="67"/>
      <c r="G51" s="68">
        <f>SUM(G48:G50)</f>
        <v>0</v>
      </c>
      <c r="H51" s="66"/>
      <c r="I51" s="67"/>
      <c r="J51" s="68">
        <f>SUM(J48:J50)</f>
        <v>0</v>
      </c>
      <c r="K51" s="69"/>
      <c r="L51" s="67"/>
      <c r="M51" s="68">
        <f>SUM(M48:M50)</f>
        <v>0</v>
      </c>
      <c r="N51" s="66"/>
      <c r="O51" s="67"/>
      <c r="P51" s="68">
        <f>SUM(P48:P50)</f>
        <v>0</v>
      </c>
      <c r="Q51" s="69"/>
      <c r="R51" s="67"/>
      <c r="S51" s="68">
        <f>SUM(S48:S50)</f>
        <v>0</v>
      </c>
      <c r="T51" s="66"/>
      <c r="U51" s="67"/>
      <c r="V51" s="68">
        <f>SUM(V48:V50)</f>
        <v>0</v>
      </c>
      <c r="W51" s="69"/>
      <c r="X51" s="67"/>
      <c r="Y51" s="68">
        <f>SUM(Y48:Y50)</f>
        <v>0</v>
      </c>
      <c r="Z51" s="66"/>
      <c r="AA51" s="67"/>
      <c r="AB51" s="68">
        <f>SUM(AB48:AB50)</f>
        <v>0</v>
      </c>
      <c r="AC51" s="69"/>
      <c r="AD51" s="67"/>
      <c r="AE51" s="68">
        <f>SUM(AE48:AE50)</f>
        <v>0</v>
      </c>
      <c r="AF51" s="66"/>
      <c r="AG51" s="67"/>
      <c r="AH51" s="68">
        <f>SUM(AH48:AH50)</f>
        <v>0</v>
      </c>
      <c r="AI51" s="69"/>
      <c r="AJ51" s="67"/>
      <c r="AK51" s="68">
        <f>SUM(AK48:AK50)</f>
        <v>0</v>
      </c>
      <c r="AL51" s="66"/>
      <c r="AM51" s="67"/>
      <c r="AN51" s="70">
        <f>SUM(AN48:AN50)</f>
        <v>0</v>
      </c>
    </row>
    <row r="52" spans="2:40">
      <c r="D52" s="6"/>
    </row>
    <row r="53" spans="2:40">
      <c r="D53" s="6"/>
    </row>
    <row r="54" spans="2:40" ht="66">
      <c r="B54" s="4" t="s">
        <v>107</v>
      </c>
      <c r="D54" s="6"/>
    </row>
    <row r="55" spans="2:40" ht="33">
      <c r="B55" s="4" t="s">
        <v>108</v>
      </c>
    </row>
    <row r="56" spans="2:40">
      <c r="B56" t="s">
        <v>109</v>
      </c>
    </row>
    <row r="57" spans="2:40">
      <c r="B57" t="s">
        <v>110</v>
      </c>
    </row>
    <row r="59" spans="2:40">
      <c r="B59" s="4"/>
    </row>
    <row r="63" spans="2:40">
      <c r="B63" s="5"/>
    </row>
  </sheetData>
  <mergeCells count="36">
    <mergeCell ref="B31:C32"/>
    <mergeCell ref="B34:C34"/>
    <mergeCell ref="B37:C37"/>
    <mergeCell ref="B39:C39"/>
    <mergeCell ref="B41:C46"/>
    <mergeCell ref="B48:C50"/>
    <mergeCell ref="AL5:AM5"/>
    <mergeCell ref="B6:C11"/>
    <mergeCell ref="B13:C18"/>
    <mergeCell ref="B20:C22"/>
    <mergeCell ref="B24:C24"/>
    <mergeCell ref="B28:C29"/>
    <mergeCell ref="T5:U5"/>
    <mergeCell ref="W5:X5"/>
    <mergeCell ref="Z5:AA5"/>
    <mergeCell ref="AC5:AD5"/>
    <mergeCell ref="AF5:AG5"/>
    <mergeCell ref="AI5:AJ5"/>
    <mergeCell ref="C5:D5"/>
    <mergeCell ref="E5:F5"/>
    <mergeCell ref="H5:I5"/>
    <mergeCell ref="K5:L5"/>
    <mergeCell ref="N5:O5"/>
    <mergeCell ref="Q5:R5"/>
    <mergeCell ref="W4:Y4"/>
    <mergeCell ref="Z4:AB4"/>
    <mergeCell ref="AC4:AE4"/>
    <mergeCell ref="AF4:AH4"/>
    <mergeCell ref="AI4:AK4"/>
    <mergeCell ref="AL4:AN4"/>
    <mergeCell ref="E4:G4"/>
    <mergeCell ref="H4:J4"/>
    <mergeCell ref="K4:M4"/>
    <mergeCell ref="N4:P4"/>
    <mergeCell ref="Q4:S4"/>
    <mergeCell ref="T4:V4"/>
  </mergeCells>
  <phoneticPr fontId="1" type="noConversion"/>
  <pageMargins left="0.7" right="0.7" top="0.75" bottom="0.75" header="0.3" footer="0.3"/>
  <pageSetup paperSize="9"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6"/>
  <sheetViews>
    <sheetView showGridLines="0" zoomScale="115" zoomScaleNormal="115" workbookViewId="0">
      <selection activeCell="D23" sqref="D23"/>
    </sheetView>
  </sheetViews>
  <sheetFormatPr defaultColWidth="9" defaultRowHeight="16.5"/>
  <cols>
    <col min="1" max="1" width="4" customWidth="1"/>
    <col min="2" max="2" width="8.125" customWidth="1"/>
    <col min="3" max="3" width="30.625" customWidth="1"/>
    <col min="4" max="4" width="12.75" customWidth="1"/>
    <col min="5" max="5" width="4.125" customWidth="1"/>
    <col min="7" max="7" width="38.25" customWidth="1"/>
    <col min="8" max="8" width="11.5" customWidth="1"/>
    <col min="9" max="9" width="4.5" customWidth="1"/>
    <col min="10" max="10" width="7.125" customWidth="1"/>
    <col min="11" max="11" width="36.25" customWidth="1"/>
    <col min="12" max="12" width="13.125" customWidth="1"/>
    <col min="16" max="16" width="11.875" customWidth="1"/>
    <col min="17" max="19" width="8.75" customWidth="1"/>
  </cols>
  <sheetData>
    <row r="2" spans="2:12">
      <c r="B2" s="198" t="s">
        <v>111</v>
      </c>
      <c r="C2" s="199"/>
      <c r="D2" s="200"/>
      <c r="F2" s="201" t="s">
        <v>112</v>
      </c>
      <c r="G2" s="202"/>
      <c r="H2" s="203"/>
      <c r="J2" s="204" t="s">
        <v>113</v>
      </c>
      <c r="K2" s="205"/>
      <c r="L2" s="206"/>
    </row>
    <row r="3" spans="2:12">
      <c r="B3" s="86"/>
      <c r="C3" s="87" t="s">
        <v>114</v>
      </c>
      <c r="D3" s="87" t="s">
        <v>115</v>
      </c>
      <c r="F3" s="87"/>
      <c r="G3" s="87" t="s">
        <v>114</v>
      </c>
      <c r="H3" s="87" t="s">
        <v>115</v>
      </c>
      <c r="J3" s="86"/>
      <c r="K3" s="87" t="s">
        <v>114</v>
      </c>
      <c r="L3" s="87" t="s">
        <v>115</v>
      </c>
    </row>
    <row r="4" spans="2:12">
      <c r="B4" s="99" t="s">
        <v>116</v>
      </c>
      <c r="C4" s="100" t="s">
        <v>117</v>
      </c>
      <c r="D4" s="101">
        <v>5000000</v>
      </c>
      <c r="F4" s="99" t="s">
        <v>116</v>
      </c>
      <c r="G4" s="128" t="s">
        <v>82</v>
      </c>
      <c r="H4" s="101">
        <v>40000</v>
      </c>
      <c r="J4" s="99" t="s">
        <v>116</v>
      </c>
      <c r="K4" s="128" t="s">
        <v>118</v>
      </c>
      <c r="L4" s="101">
        <v>33160</v>
      </c>
    </row>
    <row r="5" spans="2:12">
      <c r="B5" s="102" t="s">
        <v>119</v>
      </c>
      <c r="C5" s="122" t="s">
        <v>120</v>
      </c>
      <c r="D5" s="123" t="s">
        <v>120</v>
      </c>
      <c r="F5" s="102" t="s">
        <v>119</v>
      </c>
      <c r="G5" s="122" t="s">
        <v>120</v>
      </c>
      <c r="H5" s="123" t="s">
        <v>120</v>
      </c>
      <c r="J5" s="102" t="s">
        <v>119</v>
      </c>
      <c r="K5" s="129" t="s">
        <v>120</v>
      </c>
      <c r="L5" s="124" t="s">
        <v>120</v>
      </c>
    </row>
    <row r="6" spans="2:12">
      <c r="B6" s="102" t="s">
        <v>121</v>
      </c>
      <c r="C6" s="100" t="s">
        <v>78</v>
      </c>
      <c r="D6" s="101">
        <v>4000000</v>
      </c>
      <c r="F6" s="102" t="s">
        <v>121</v>
      </c>
      <c r="G6" s="128" t="s">
        <v>84</v>
      </c>
      <c r="H6" s="105">
        <v>40000</v>
      </c>
      <c r="J6" s="102" t="s">
        <v>121</v>
      </c>
      <c r="K6" s="129" t="s">
        <v>120</v>
      </c>
      <c r="L6" s="123" t="s">
        <v>120</v>
      </c>
    </row>
    <row r="7" spans="2:12">
      <c r="B7" s="102" t="s">
        <v>122</v>
      </c>
      <c r="C7" s="100" t="s">
        <v>79</v>
      </c>
      <c r="D7" s="101">
        <v>1000000</v>
      </c>
      <c r="F7" s="102" t="s">
        <v>122</v>
      </c>
      <c r="G7" s="128" t="s">
        <v>85</v>
      </c>
      <c r="H7" s="101">
        <v>80000</v>
      </c>
      <c r="J7" s="102" t="s">
        <v>122</v>
      </c>
      <c r="K7" s="129" t="s">
        <v>120</v>
      </c>
      <c r="L7" s="123" t="s">
        <v>120</v>
      </c>
    </row>
    <row r="8" spans="2:12">
      <c r="B8" s="99" t="s">
        <v>123</v>
      </c>
      <c r="C8" s="100" t="s">
        <v>80</v>
      </c>
      <c r="D8" s="101">
        <v>6000000</v>
      </c>
      <c r="F8" s="102" t="s">
        <v>123</v>
      </c>
      <c r="G8" s="122" t="s">
        <v>120</v>
      </c>
      <c r="H8" s="123" t="s">
        <v>120</v>
      </c>
      <c r="J8" s="99" t="s">
        <v>123</v>
      </c>
      <c r="K8" s="128" t="s">
        <v>86</v>
      </c>
      <c r="L8" s="101">
        <v>99480</v>
      </c>
    </row>
    <row r="9" spans="2:12">
      <c r="B9" s="102" t="s">
        <v>124</v>
      </c>
      <c r="C9" s="102"/>
      <c r="D9" s="101"/>
      <c r="F9" s="102" t="s">
        <v>124</v>
      </c>
      <c r="G9" s="128" t="s">
        <v>81</v>
      </c>
      <c r="H9" s="105">
        <f>(16+48)*40000</f>
        <v>2560000</v>
      </c>
      <c r="J9" s="102" t="s">
        <v>124</v>
      </c>
      <c r="K9" s="100"/>
      <c r="L9" s="107"/>
    </row>
    <row r="10" spans="2:12">
      <c r="B10" s="102" t="s">
        <v>125</v>
      </c>
      <c r="C10" s="100"/>
      <c r="D10" s="103"/>
      <c r="F10" s="102" t="s">
        <v>125</v>
      </c>
      <c r="G10" s="100"/>
      <c r="H10" s="105"/>
      <c r="J10" s="102" t="s">
        <v>125</v>
      </c>
      <c r="K10" s="102"/>
      <c r="L10" s="101"/>
    </row>
    <row r="11" spans="2:12">
      <c r="B11" s="102" t="s">
        <v>126</v>
      </c>
      <c r="C11" s="100"/>
      <c r="D11" s="101"/>
      <c r="F11" s="102" t="s">
        <v>126</v>
      </c>
      <c r="G11" s="100"/>
      <c r="H11" s="105"/>
      <c r="J11" s="102" t="s">
        <v>126</v>
      </c>
      <c r="K11" s="102"/>
      <c r="L11" s="101"/>
    </row>
    <row r="12" spans="2:12">
      <c r="B12" s="102" t="s">
        <v>127</v>
      </c>
      <c r="C12" s="100"/>
      <c r="D12" s="101"/>
      <c r="F12" s="102" t="s">
        <v>127</v>
      </c>
      <c r="G12" s="102"/>
      <c r="H12" s="101"/>
      <c r="J12" s="102" t="s">
        <v>127</v>
      </c>
      <c r="K12" s="102"/>
      <c r="L12" s="101"/>
    </row>
    <row r="13" spans="2:12">
      <c r="B13" s="104" t="s">
        <v>128</v>
      </c>
      <c r="C13" s="100"/>
      <c r="D13" s="101"/>
      <c r="F13" s="102" t="s">
        <v>128</v>
      </c>
      <c r="G13" s="100"/>
      <c r="H13" s="105"/>
      <c r="J13" s="104" t="s">
        <v>128</v>
      </c>
      <c r="K13" s="100"/>
      <c r="L13" s="107"/>
    </row>
    <row r="14" spans="2:12">
      <c r="B14" s="102" t="s">
        <v>129</v>
      </c>
      <c r="C14" s="100"/>
      <c r="D14" s="103"/>
      <c r="F14" s="102" t="s">
        <v>129</v>
      </c>
      <c r="G14" s="100"/>
      <c r="H14" s="105"/>
      <c r="J14" s="102" t="s">
        <v>129</v>
      </c>
      <c r="K14" s="102"/>
      <c r="L14" s="101"/>
    </row>
    <row r="15" spans="2:12">
      <c r="B15" s="102" t="s">
        <v>130</v>
      </c>
      <c r="C15" s="100"/>
      <c r="D15" s="105"/>
      <c r="F15" s="102" t="s">
        <v>130</v>
      </c>
      <c r="G15" s="100"/>
      <c r="H15" s="106"/>
      <c r="J15" s="102" t="s">
        <v>130</v>
      </c>
      <c r="K15" s="100"/>
      <c r="L15" s="108"/>
    </row>
    <row r="16" spans="2:12">
      <c r="C16" s="110" t="s">
        <v>131</v>
      </c>
      <c r="D16" s="93">
        <f>D4+D6+D7+D8</f>
        <v>16000000</v>
      </c>
      <c r="G16" s="110" t="s">
        <v>132</v>
      </c>
      <c r="H16" s="96">
        <f>H4+H6+H7+H9</f>
        <v>2720000</v>
      </c>
      <c r="K16" s="111" t="s">
        <v>133</v>
      </c>
      <c r="L16" s="97">
        <f>SUM(L4:L15)</f>
        <v>132640</v>
      </c>
    </row>
  </sheetData>
  <mergeCells count="3">
    <mergeCell ref="B2:D2"/>
    <mergeCell ref="F2:H2"/>
    <mergeCell ref="J2:L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4"/>
  <sheetViews>
    <sheetView showGridLines="0" workbookViewId="0">
      <selection activeCell="H16" sqref="H16"/>
    </sheetView>
  </sheetViews>
  <sheetFormatPr defaultRowHeight="16.5"/>
  <cols>
    <col min="1" max="1" width="3.625" customWidth="1"/>
    <col min="2" max="2" width="6.625" customWidth="1"/>
    <col min="3" max="3" width="21.25" customWidth="1"/>
    <col min="4" max="4" width="11.5" customWidth="1"/>
    <col min="5" max="5" width="12.125" customWidth="1"/>
    <col min="7" max="7" width="18" customWidth="1"/>
    <col min="8" max="8" width="61.125" customWidth="1"/>
  </cols>
  <sheetData>
    <row r="2" spans="2:8" ht="20.25">
      <c r="B2" s="207" t="s">
        <v>134</v>
      </c>
      <c r="C2" s="207"/>
      <c r="D2" s="207"/>
      <c r="E2" s="207"/>
      <c r="F2" s="207"/>
      <c r="G2" s="207"/>
      <c r="H2" s="207"/>
    </row>
    <row r="3" spans="2:8" ht="17.25" thickBot="1">
      <c r="B3" s="8"/>
      <c r="C3" s="8"/>
      <c r="G3" s="9"/>
      <c r="H3" s="4"/>
    </row>
    <row r="4" spans="2:8">
      <c r="B4" s="32" t="s">
        <v>135</v>
      </c>
      <c r="C4" s="33" t="s">
        <v>136</v>
      </c>
      <c r="D4" s="33" t="s">
        <v>137</v>
      </c>
      <c r="E4" s="33" t="s">
        <v>138</v>
      </c>
      <c r="F4" s="33" t="s">
        <v>139</v>
      </c>
      <c r="G4" s="31" t="s">
        <v>140</v>
      </c>
      <c r="H4" s="34" t="s">
        <v>32</v>
      </c>
    </row>
    <row r="5" spans="2:8">
      <c r="B5" s="88">
        <v>1</v>
      </c>
      <c r="C5" s="36" t="s">
        <v>141</v>
      </c>
      <c r="D5" s="89" t="s">
        <v>142</v>
      </c>
      <c r="E5" s="36">
        <v>2025</v>
      </c>
      <c r="F5" s="90"/>
      <c r="G5" s="90"/>
      <c r="H5" s="115" t="s">
        <v>143</v>
      </c>
    </row>
    <row r="6" spans="2:8">
      <c r="B6" s="114">
        <v>2</v>
      </c>
      <c r="C6" s="112" t="s">
        <v>144</v>
      </c>
      <c r="D6" s="113" t="s">
        <v>145</v>
      </c>
      <c r="E6" s="112">
        <v>2025</v>
      </c>
      <c r="F6" s="90"/>
      <c r="G6" s="90"/>
      <c r="H6" s="115" t="s">
        <v>143</v>
      </c>
    </row>
    <row r="7" spans="2:8" ht="16.5" customHeight="1">
      <c r="B7" s="88">
        <v>3</v>
      </c>
      <c r="C7" s="36" t="s">
        <v>146</v>
      </c>
      <c r="D7" s="89" t="s">
        <v>147</v>
      </c>
      <c r="E7" s="36">
        <v>2025</v>
      </c>
      <c r="F7" s="90"/>
      <c r="G7" s="90"/>
      <c r="H7" s="115" t="s">
        <v>143</v>
      </c>
    </row>
    <row r="8" spans="2:8" ht="18.75" customHeight="1">
      <c r="B8" s="88">
        <v>4</v>
      </c>
      <c r="C8" s="130" t="s">
        <v>148</v>
      </c>
      <c r="D8" s="131" t="s">
        <v>147</v>
      </c>
      <c r="E8" s="130">
        <v>2026</v>
      </c>
      <c r="F8" s="132" t="s">
        <v>149</v>
      </c>
      <c r="G8" s="132">
        <v>235000</v>
      </c>
      <c r="H8" s="133" t="s">
        <v>150</v>
      </c>
    </row>
    <row r="9" spans="2:8" ht="18" customHeight="1">
      <c r="B9" s="114">
        <v>5</v>
      </c>
      <c r="C9" s="134" t="s">
        <v>151</v>
      </c>
      <c r="D9" s="135" t="s">
        <v>152</v>
      </c>
      <c r="E9" s="134">
        <v>2026</v>
      </c>
      <c r="F9" s="132" t="s">
        <v>149</v>
      </c>
      <c r="G9" s="132">
        <v>90000</v>
      </c>
      <c r="H9" s="133" t="s">
        <v>153</v>
      </c>
    </row>
    <row r="10" spans="2:8" ht="20.25" customHeight="1">
      <c r="B10" s="88">
        <v>6</v>
      </c>
      <c r="C10" s="36" t="s">
        <v>154</v>
      </c>
      <c r="D10" s="89" t="s">
        <v>155</v>
      </c>
      <c r="E10" s="36">
        <v>2026</v>
      </c>
      <c r="F10" s="90"/>
      <c r="G10" s="90"/>
      <c r="H10" s="115" t="s">
        <v>143</v>
      </c>
    </row>
    <row r="11" spans="2:8">
      <c r="B11" s="88">
        <v>7</v>
      </c>
      <c r="C11" s="36" t="s">
        <v>156</v>
      </c>
      <c r="D11" s="89" t="s">
        <v>157</v>
      </c>
      <c r="E11" s="36">
        <v>2026</v>
      </c>
      <c r="F11" s="90"/>
      <c r="G11" s="90"/>
      <c r="H11" s="115" t="s">
        <v>158</v>
      </c>
    </row>
    <row r="12" spans="2:8">
      <c r="B12" s="88"/>
      <c r="C12" s="36"/>
      <c r="D12" s="89"/>
      <c r="E12" s="36"/>
      <c r="F12" s="90"/>
      <c r="G12" s="90"/>
      <c r="H12" s="95"/>
    </row>
    <row r="13" spans="2:8" ht="17.25" thickBot="1">
      <c r="B13" s="208" t="s">
        <v>159</v>
      </c>
      <c r="C13" s="208"/>
      <c r="D13" s="208"/>
      <c r="E13" s="208"/>
      <c r="F13" s="209"/>
      <c r="G13" s="35">
        <f>SUM(G5:G12)</f>
        <v>325000</v>
      </c>
      <c r="H13" s="10"/>
    </row>
    <row r="14" spans="2:8">
      <c r="B14" s="37" t="s">
        <v>160</v>
      </c>
      <c r="C14" s="38"/>
      <c r="D14" s="38"/>
      <c r="E14" s="38"/>
      <c r="F14" s="38"/>
      <c r="G14" s="38"/>
      <c r="H14" s="38"/>
    </row>
  </sheetData>
  <mergeCells count="2">
    <mergeCell ref="B2:H2"/>
    <mergeCell ref="B13:F1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B168"/>
  <sheetViews>
    <sheetView showGridLines="0" zoomScale="85" zoomScaleNormal="85" workbookViewId="0">
      <pane ySplit="5" topLeftCell="A6" activePane="bottomLeft" state="frozen"/>
      <selection pane="bottomLeft" activeCell="G28" sqref="G28"/>
    </sheetView>
  </sheetViews>
  <sheetFormatPr defaultRowHeight="16.5"/>
  <cols>
    <col min="1" max="1" width="2.875" style="11" customWidth="1"/>
    <col min="2" max="2" width="31.75" style="11" customWidth="1"/>
    <col min="3" max="3" width="19.875" style="11" customWidth="1"/>
    <col min="4" max="4" width="9" style="11"/>
    <col min="5" max="5" width="24.25" style="11" customWidth="1"/>
    <col min="6" max="6" width="11.75" style="11" customWidth="1"/>
    <col min="7" max="7" width="24.25" style="11" customWidth="1"/>
    <col min="8" max="8" width="13.625" style="11" bestFit="1" customWidth="1"/>
    <col min="9" max="9" width="24.25" style="11" customWidth="1"/>
    <col min="10" max="10" width="12.75" style="11" customWidth="1"/>
    <col min="11" max="11" width="24.25" style="11" customWidth="1"/>
    <col min="12" max="12" width="15" style="11" customWidth="1"/>
    <col min="13" max="13" width="24.25" style="11" customWidth="1"/>
    <col min="14" max="14" width="16.5" style="11" customWidth="1"/>
    <col min="15" max="15" width="24.25" style="11" customWidth="1"/>
    <col min="16" max="16" width="14.5" style="11" customWidth="1"/>
    <col min="17" max="17" width="24.25" style="11" customWidth="1"/>
    <col min="18" max="18" width="13.25" style="11" bestFit="1" customWidth="1"/>
    <col min="19" max="19" width="24.25" style="11" customWidth="1"/>
    <col min="20" max="20" width="17.375" style="11" customWidth="1"/>
    <col min="21" max="21" width="24.25" style="11" customWidth="1"/>
    <col min="22" max="22" width="21" style="11" customWidth="1"/>
    <col min="23" max="23" width="24.25" style="11" customWidth="1"/>
    <col min="24" max="24" width="13.25" style="11" bestFit="1" customWidth="1"/>
    <col min="25" max="25" width="24.25" style="11" customWidth="1"/>
    <col min="26" max="26" width="14.625" style="11" bestFit="1" customWidth="1"/>
    <col min="27" max="27" width="24.25" style="11" customWidth="1"/>
    <col min="28" max="28" width="13.25" style="11" bestFit="1" customWidth="1"/>
    <col min="29" max="16384" width="9" style="11"/>
  </cols>
  <sheetData>
    <row r="2" spans="2:28">
      <c r="B2" s="11" t="s">
        <v>161</v>
      </c>
    </row>
    <row r="3" spans="2:28" ht="17.25" thickBot="1"/>
    <row r="4" spans="2:28" ht="18" thickBot="1">
      <c r="B4" s="12" t="s">
        <v>15</v>
      </c>
      <c r="C4" s="13" t="s">
        <v>2</v>
      </c>
      <c r="D4" s="13" t="s">
        <v>16</v>
      </c>
      <c r="E4" s="210" t="s">
        <v>17</v>
      </c>
      <c r="F4" s="211"/>
      <c r="G4" s="210" t="s">
        <v>18</v>
      </c>
      <c r="H4" s="211"/>
      <c r="I4" s="210" t="s">
        <v>19</v>
      </c>
      <c r="J4" s="211"/>
      <c r="K4" s="210" t="s">
        <v>20</v>
      </c>
      <c r="L4" s="211"/>
      <c r="M4" s="210" t="s">
        <v>21</v>
      </c>
      <c r="N4" s="211"/>
      <c r="O4" s="210" t="s">
        <v>22</v>
      </c>
      <c r="P4" s="211"/>
      <c r="Q4" s="210" t="s">
        <v>23</v>
      </c>
      <c r="R4" s="211"/>
      <c r="S4" s="210" t="s">
        <v>24</v>
      </c>
      <c r="T4" s="211"/>
      <c r="U4" s="210" t="s">
        <v>25</v>
      </c>
      <c r="V4" s="211"/>
      <c r="W4" s="210" t="s">
        <v>26</v>
      </c>
      <c r="X4" s="211"/>
      <c r="Y4" s="210" t="s">
        <v>27</v>
      </c>
      <c r="Z4" s="211"/>
      <c r="AA4" s="210" t="s">
        <v>28</v>
      </c>
      <c r="AB4" s="211"/>
    </row>
    <row r="5" spans="2:28" ht="17.25">
      <c r="B5" s="14" t="s">
        <v>162</v>
      </c>
      <c r="C5" s="116">
        <f>SUM(E166:AA166)</f>
        <v>31300000</v>
      </c>
      <c r="D5" s="117"/>
      <c r="E5" s="15" t="s">
        <v>57</v>
      </c>
      <c r="F5" s="118">
        <v>37182600</v>
      </c>
      <c r="G5" s="15"/>
      <c r="H5" s="16"/>
      <c r="I5" s="15" t="s">
        <v>59</v>
      </c>
      <c r="J5" s="118">
        <v>130000</v>
      </c>
      <c r="K5" s="15" t="s">
        <v>60</v>
      </c>
      <c r="L5" s="118">
        <v>3360000</v>
      </c>
      <c r="M5" s="15"/>
      <c r="N5" s="16"/>
      <c r="O5" s="15"/>
      <c r="P5" s="16"/>
      <c r="Q5" s="15"/>
      <c r="R5" s="16"/>
      <c r="S5" s="15"/>
      <c r="T5" s="16"/>
      <c r="U5" s="15"/>
      <c r="V5" s="16"/>
      <c r="W5" s="15"/>
      <c r="X5" s="16"/>
      <c r="Y5" s="15"/>
      <c r="Z5" s="16"/>
      <c r="AA5" s="15"/>
      <c r="AB5" s="16"/>
    </row>
    <row r="6" spans="2:28">
      <c r="B6" s="17" t="s">
        <v>56</v>
      </c>
      <c r="C6" s="18"/>
      <c r="D6" s="19" t="s">
        <v>32</v>
      </c>
      <c r="E6" s="119" t="s">
        <v>61</v>
      </c>
      <c r="F6" s="118">
        <v>30248000</v>
      </c>
      <c r="G6" s="20"/>
      <c r="H6" s="21"/>
      <c r="I6" s="119" t="s">
        <v>62</v>
      </c>
      <c r="J6" s="118">
        <v>140000</v>
      </c>
      <c r="K6" s="119" t="s">
        <v>63</v>
      </c>
      <c r="L6" s="118">
        <v>130000</v>
      </c>
      <c r="M6" s="20"/>
      <c r="N6" s="21"/>
      <c r="O6" s="20"/>
      <c r="P6" s="21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2:28">
      <c r="B7" s="17"/>
      <c r="C7" s="18"/>
      <c r="D7" s="19"/>
      <c r="E7" s="119" t="s">
        <v>64</v>
      </c>
      <c r="F7" s="118">
        <v>121000</v>
      </c>
      <c r="G7" s="20"/>
      <c r="H7" s="21"/>
      <c r="I7" s="20"/>
      <c r="J7" s="21"/>
      <c r="K7" s="119" t="s">
        <v>65</v>
      </c>
      <c r="L7" s="118">
        <f>280000+130000</f>
        <v>410000</v>
      </c>
      <c r="M7" s="20"/>
      <c r="N7" s="21"/>
      <c r="O7" s="20"/>
      <c r="P7" s="21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2:28">
      <c r="B8" s="17"/>
      <c r="C8" s="18"/>
      <c r="D8" s="19"/>
      <c r="E8" s="119" t="s">
        <v>66</v>
      </c>
      <c r="F8" s="118">
        <v>121000</v>
      </c>
      <c r="G8" s="20"/>
      <c r="H8" s="21"/>
      <c r="I8" s="20"/>
      <c r="J8" s="21"/>
      <c r="K8" s="119" t="s">
        <v>65</v>
      </c>
      <c r="L8" s="118">
        <v>130000</v>
      </c>
      <c r="M8" s="20"/>
      <c r="N8" s="21"/>
      <c r="O8" s="20"/>
      <c r="P8" s="21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2:28">
      <c r="B9" s="17"/>
      <c r="C9" s="18"/>
      <c r="D9" s="19"/>
      <c r="E9" s="20"/>
      <c r="F9" s="21"/>
      <c r="G9" s="20"/>
      <c r="H9" s="21"/>
      <c r="I9" s="20"/>
      <c r="J9" s="21"/>
      <c r="K9" s="119"/>
      <c r="L9" s="21"/>
      <c r="M9" s="20"/>
      <c r="N9" s="21"/>
      <c r="O9" s="20"/>
      <c r="P9" s="21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2:28">
      <c r="B10" s="17"/>
      <c r="C10" s="18"/>
      <c r="D10" s="19"/>
      <c r="E10" s="20"/>
      <c r="F10" s="21"/>
      <c r="G10" s="20"/>
      <c r="H10" s="21"/>
      <c r="I10" s="20"/>
      <c r="J10" s="21"/>
      <c r="K10" s="20"/>
      <c r="L10" s="21"/>
      <c r="M10" s="20"/>
      <c r="N10" s="21"/>
      <c r="O10" s="20"/>
      <c r="P10" s="21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2:28">
      <c r="B11" s="17"/>
      <c r="C11" s="18"/>
      <c r="D11" s="19"/>
      <c r="E11" s="20"/>
      <c r="F11" s="21"/>
      <c r="G11" s="20"/>
      <c r="H11" s="21"/>
      <c r="I11" s="20"/>
      <c r="J11" s="21"/>
      <c r="K11" s="20"/>
      <c r="L11" s="21"/>
      <c r="M11" s="20"/>
      <c r="N11" s="21"/>
      <c r="O11" s="20"/>
      <c r="P11" s="21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2:28">
      <c r="B12" s="17"/>
      <c r="C12" s="18"/>
      <c r="D12" s="19"/>
      <c r="E12" s="20"/>
      <c r="F12" s="21"/>
      <c r="G12" s="20"/>
      <c r="H12" s="21"/>
      <c r="I12" s="20"/>
      <c r="J12" s="21"/>
      <c r="K12" s="20"/>
      <c r="L12" s="21"/>
      <c r="M12" s="20"/>
      <c r="N12" s="21"/>
      <c r="O12" s="20"/>
      <c r="P12" s="21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2:28">
      <c r="B13" s="17"/>
      <c r="C13" s="18"/>
      <c r="D13" s="19"/>
      <c r="E13" s="20"/>
      <c r="F13" s="21"/>
      <c r="G13" s="20"/>
      <c r="H13" s="21"/>
      <c r="I13" s="20"/>
      <c r="J13" s="21"/>
      <c r="K13" s="20"/>
      <c r="L13" s="21"/>
      <c r="M13" s="20"/>
      <c r="N13" s="21"/>
      <c r="O13" s="20"/>
      <c r="P13" s="21"/>
      <c r="Q13" s="20"/>
      <c r="R13" s="21"/>
      <c r="S13" s="20"/>
      <c r="T13" s="21"/>
      <c r="U13" s="20"/>
      <c r="V13" s="21"/>
      <c r="W13" s="20"/>
      <c r="X13" s="21"/>
      <c r="Y13" s="20"/>
      <c r="Z13" s="21"/>
      <c r="AA13" s="3"/>
      <c r="AB13" s="3"/>
    </row>
    <row r="14" spans="2:28">
      <c r="B14" s="17"/>
      <c r="C14" s="18"/>
      <c r="D14" s="19"/>
      <c r="E14" s="20"/>
      <c r="F14" s="21"/>
      <c r="G14" s="20"/>
      <c r="H14" s="21"/>
      <c r="I14" s="20"/>
      <c r="J14" s="21"/>
      <c r="K14" s="20"/>
      <c r="L14" s="21"/>
      <c r="M14" s="20"/>
      <c r="N14" s="21"/>
      <c r="O14" s="20"/>
      <c r="P14" s="21"/>
      <c r="Q14" s="20"/>
      <c r="R14" s="21"/>
      <c r="S14" s="20"/>
      <c r="T14" s="21"/>
      <c r="U14" s="20"/>
      <c r="V14" s="21"/>
      <c r="W14" s="20"/>
      <c r="X14" s="21"/>
      <c r="Y14" s="20"/>
      <c r="Z14" s="21"/>
      <c r="AA14" s="3"/>
      <c r="AB14" s="3"/>
    </row>
    <row r="15" spans="2:28">
      <c r="B15" s="17"/>
      <c r="C15" s="18"/>
      <c r="D15" s="19"/>
      <c r="E15" s="20"/>
      <c r="F15" s="21"/>
      <c r="G15" s="20"/>
      <c r="H15" s="21"/>
      <c r="I15" s="20"/>
      <c r="J15" s="21"/>
      <c r="K15" s="20"/>
      <c r="L15" s="21"/>
      <c r="M15" s="20"/>
      <c r="N15" s="21"/>
      <c r="O15" s="20"/>
      <c r="P15" s="21"/>
      <c r="Q15" s="20"/>
      <c r="R15" s="21"/>
      <c r="S15" s="20"/>
      <c r="T15" s="21"/>
      <c r="U15" s="20"/>
      <c r="V15" s="21"/>
      <c r="W15" s="20"/>
      <c r="X15" s="21"/>
      <c r="Y15" s="20"/>
      <c r="Z15" s="21"/>
      <c r="AA15" s="3"/>
      <c r="AB15" s="3"/>
    </row>
    <row r="16" spans="2:28">
      <c r="B16" s="17"/>
      <c r="C16" s="18"/>
      <c r="D16" s="19"/>
      <c r="E16" s="20"/>
      <c r="F16" s="21"/>
      <c r="G16" s="20"/>
      <c r="H16" s="21"/>
      <c r="I16" s="20"/>
      <c r="J16" s="21"/>
      <c r="K16" s="20"/>
      <c r="L16" s="21"/>
      <c r="M16" s="20"/>
      <c r="N16" s="21"/>
      <c r="O16" s="20"/>
      <c r="P16" s="21"/>
      <c r="Q16" s="20"/>
      <c r="R16" s="21"/>
      <c r="S16" s="20"/>
      <c r="T16" s="21"/>
      <c r="U16" s="20"/>
      <c r="V16" s="21"/>
      <c r="W16" s="20"/>
      <c r="X16" s="21"/>
      <c r="Y16" s="20"/>
      <c r="Z16" s="21"/>
      <c r="AA16" s="3"/>
      <c r="AB16" s="3"/>
    </row>
    <row r="17" spans="2:28">
      <c r="B17" s="17"/>
      <c r="C17" s="18"/>
      <c r="D17" s="19"/>
      <c r="E17" s="20"/>
      <c r="F17" s="21"/>
      <c r="G17" s="20"/>
      <c r="H17" s="21"/>
      <c r="I17" s="20"/>
      <c r="J17" s="21"/>
      <c r="K17" s="20"/>
      <c r="L17" s="21"/>
      <c r="M17" s="20"/>
      <c r="N17" s="21"/>
      <c r="O17" s="20"/>
      <c r="P17" s="21"/>
      <c r="Q17" s="20"/>
      <c r="R17" s="21"/>
      <c r="S17" s="20"/>
      <c r="T17" s="21"/>
      <c r="U17" s="20"/>
      <c r="V17" s="21"/>
      <c r="W17" s="20"/>
      <c r="X17" s="21"/>
      <c r="Y17" s="20"/>
      <c r="Z17" s="21"/>
      <c r="AA17" s="3"/>
      <c r="AB17" s="3"/>
    </row>
    <row r="18" spans="2:28">
      <c r="B18" s="17"/>
      <c r="C18" s="18"/>
      <c r="D18" s="19"/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20"/>
      <c r="P18" s="21"/>
      <c r="Q18" s="20"/>
      <c r="R18" s="21"/>
      <c r="S18" s="20"/>
      <c r="T18" s="21"/>
      <c r="U18" s="20"/>
      <c r="V18" s="21"/>
      <c r="W18" s="20"/>
      <c r="X18" s="21"/>
      <c r="Y18" s="20"/>
      <c r="Z18" s="21"/>
      <c r="AA18" s="3"/>
      <c r="AB18" s="3"/>
    </row>
    <row r="19" spans="2:28">
      <c r="B19" s="17"/>
      <c r="C19" s="18"/>
      <c r="D19" s="19"/>
      <c r="E19" s="20"/>
      <c r="F19" s="21"/>
      <c r="G19" s="20"/>
      <c r="H19" s="21"/>
      <c r="I19" s="20"/>
      <c r="J19" s="21"/>
      <c r="K19" s="20"/>
      <c r="L19" s="21"/>
      <c r="M19" s="20"/>
      <c r="N19" s="21"/>
      <c r="O19" s="20"/>
      <c r="P19" s="21"/>
      <c r="Q19" s="20"/>
      <c r="R19" s="21"/>
      <c r="S19" s="20"/>
      <c r="T19" s="21"/>
      <c r="U19" s="20"/>
      <c r="V19" s="21"/>
      <c r="W19" s="20"/>
      <c r="X19" s="21"/>
      <c r="Y19" s="20"/>
      <c r="Z19" s="21"/>
      <c r="AA19" s="20"/>
      <c r="AB19" s="21"/>
    </row>
    <row r="20" spans="2:28">
      <c r="B20" s="17"/>
      <c r="C20" s="18"/>
      <c r="D20" s="19"/>
      <c r="E20" s="20"/>
      <c r="F20" s="21"/>
      <c r="G20" s="20"/>
      <c r="H20" s="21"/>
      <c r="I20" s="20"/>
      <c r="J20" s="21"/>
      <c r="K20" s="20"/>
      <c r="L20" s="21"/>
      <c r="M20" s="20"/>
      <c r="N20" s="21"/>
      <c r="O20" s="20"/>
      <c r="P20" s="21"/>
      <c r="Q20" s="20"/>
      <c r="R20" s="21"/>
      <c r="S20" s="20"/>
      <c r="T20" s="21"/>
      <c r="U20" s="20"/>
      <c r="V20" s="21"/>
      <c r="W20" s="20"/>
      <c r="X20" s="21"/>
      <c r="Y20" s="20"/>
      <c r="Z20" s="21"/>
      <c r="AA20" s="20"/>
      <c r="AB20" s="21"/>
    </row>
    <row r="21" spans="2:28">
      <c r="B21" s="17"/>
      <c r="C21" s="18"/>
      <c r="D21" s="19"/>
      <c r="E21" s="20"/>
      <c r="F21" s="21"/>
      <c r="G21" s="20"/>
      <c r="H21" s="21"/>
      <c r="I21" s="20"/>
      <c r="J21" s="21"/>
      <c r="K21" s="20"/>
      <c r="L21" s="21"/>
      <c r="M21" s="20"/>
      <c r="N21" s="21"/>
      <c r="O21" s="20"/>
      <c r="P21" s="21"/>
      <c r="Q21" s="20"/>
      <c r="R21" s="21"/>
      <c r="S21" s="20"/>
      <c r="T21" s="21"/>
      <c r="U21" s="20"/>
      <c r="V21" s="21"/>
      <c r="W21" s="20"/>
      <c r="X21" s="21"/>
      <c r="Y21" s="20"/>
      <c r="Z21" s="21"/>
      <c r="AA21" s="20"/>
      <c r="AB21" s="21"/>
    </row>
    <row r="22" spans="2:28">
      <c r="B22" s="17"/>
      <c r="C22" s="18"/>
      <c r="D22" s="19"/>
      <c r="E22" s="20"/>
      <c r="F22" s="21"/>
      <c r="G22" s="20"/>
      <c r="H22" s="21"/>
      <c r="I22" s="20"/>
      <c r="J22" s="21"/>
      <c r="K22" s="20"/>
      <c r="L22" s="21"/>
      <c r="M22" s="20"/>
      <c r="N22" s="21"/>
      <c r="O22" s="20"/>
      <c r="P22" s="21"/>
      <c r="Q22" s="20"/>
      <c r="R22" s="21"/>
      <c r="S22" s="20"/>
      <c r="T22" s="21"/>
      <c r="U22" s="20"/>
      <c r="V22" s="21"/>
      <c r="W22" s="20"/>
      <c r="X22" s="21"/>
      <c r="Y22" s="20"/>
      <c r="Z22" s="21"/>
      <c r="AA22" s="20"/>
      <c r="AB22" s="21"/>
    </row>
    <row r="23" spans="2:28">
      <c r="B23" s="17"/>
      <c r="C23" s="18"/>
      <c r="D23" s="19"/>
      <c r="E23" s="20"/>
      <c r="F23" s="21"/>
      <c r="G23" s="20"/>
      <c r="H23" s="21"/>
      <c r="I23" s="20"/>
      <c r="J23" s="21"/>
      <c r="K23" s="20"/>
      <c r="L23" s="21"/>
      <c r="M23" s="20"/>
      <c r="N23" s="21"/>
      <c r="O23" s="20"/>
      <c r="P23" s="21"/>
      <c r="Q23" s="20"/>
      <c r="R23" s="21"/>
      <c r="S23" s="20"/>
      <c r="T23" s="21"/>
      <c r="U23" s="20"/>
      <c r="V23" s="21"/>
      <c r="W23" s="20"/>
      <c r="X23" s="21"/>
      <c r="Y23" s="20"/>
      <c r="Z23" s="21"/>
      <c r="AA23" s="20"/>
      <c r="AB23" s="21"/>
    </row>
    <row r="24" spans="2:28">
      <c r="B24" s="17"/>
      <c r="C24" s="18"/>
      <c r="D24" s="19"/>
      <c r="E24" s="20"/>
      <c r="F24" s="21"/>
      <c r="G24" s="20"/>
      <c r="H24" s="21"/>
      <c r="I24" s="20"/>
      <c r="J24" s="21"/>
      <c r="K24" s="20"/>
      <c r="L24" s="21"/>
      <c r="M24" s="20"/>
      <c r="N24" s="21"/>
      <c r="O24" s="20"/>
      <c r="P24" s="21"/>
      <c r="Q24" s="20"/>
      <c r="R24" s="21"/>
      <c r="S24" s="20"/>
      <c r="T24" s="21"/>
      <c r="U24" s="20"/>
      <c r="V24" s="21"/>
      <c r="W24" s="20"/>
      <c r="X24" s="21"/>
      <c r="Y24" s="20"/>
      <c r="Z24" s="21"/>
      <c r="AA24" s="20"/>
      <c r="AB24" s="21"/>
    </row>
    <row r="25" spans="2:28">
      <c r="B25" s="17"/>
      <c r="C25" s="18"/>
      <c r="D25" s="19"/>
      <c r="E25" s="20"/>
      <c r="F25" s="21"/>
      <c r="G25" s="20"/>
      <c r="H25" s="21"/>
      <c r="I25" s="20"/>
      <c r="J25" s="21"/>
      <c r="K25" s="20"/>
      <c r="L25" s="21"/>
      <c r="M25" s="20"/>
      <c r="N25" s="21"/>
      <c r="O25" s="20"/>
      <c r="P25" s="21"/>
      <c r="Q25" s="20"/>
      <c r="R25" s="21"/>
      <c r="S25" s="20"/>
      <c r="T25" s="21"/>
      <c r="U25" s="20"/>
      <c r="V25" s="21"/>
      <c r="W25" s="20"/>
      <c r="X25" s="21"/>
      <c r="Y25" s="20"/>
      <c r="Z25" s="21"/>
      <c r="AA25" s="20"/>
      <c r="AB25" s="21"/>
    </row>
    <row r="26" spans="2:28">
      <c r="B26" s="17"/>
      <c r="C26" s="18"/>
      <c r="D26" s="19"/>
      <c r="E26" s="20"/>
      <c r="F26" s="21"/>
      <c r="G26" s="20"/>
      <c r="H26" s="21"/>
      <c r="I26" s="20"/>
      <c r="J26" s="21"/>
      <c r="K26" s="20"/>
      <c r="L26" s="21"/>
      <c r="M26" s="20"/>
      <c r="N26" s="21"/>
      <c r="O26" s="20"/>
      <c r="P26" s="21"/>
      <c r="Q26" s="20"/>
      <c r="R26" s="21"/>
      <c r="S26" s="20"/>
      <c r="T26" s="21"/>
      <c r="U26" s="20"/>
      <c r="V26" s="21"/>
      <c r="W26" s="20"/>
      <c r="X26" s="21"/>
      <c r="Y26" s="20"/>
      <c r="Z26" s="21"/>
      <c r="AA26" s="20"/>
      <c r="AB26" s="21"/>
    </row>
    <row r="27" spans="2:28">
      <c r="B27" s="17"/>
      <c r="C27" s="18"/>
      <c r="D27" s="19"/>
      <c r="E27" s="20"/>
      <c r="F27" s="21"/>
      <c r="G27" s="20"/>
      <c r="H27" s="21"/>
      <c r="I27" s="20"/>
      <c r="J27" s="21"/>
      <c r="K27" s="20"/>
      <c r="L27" s="21"/>
      <c r="M27" s="20"/>
      <c r="N27" s="21"/>
      <c r="O27" s="20"/>
      <c r="P27" s="21"/>
      <c r="Q27" s="20"/>
      <c r="R27" s="21"/>
      <c r="S27" s="20"/>
      <c r="T27" s="21"/>
      <c r="U27" s="20"/>
      <c r="V27" s="21"/>
      <c r="W27" s="20"/>
      <c r="X27" s="21"/>
      <c r="Y27" s="20"/>
      <c r="Z27" s="21"/>
      <c r="AA27" s="20"/>
      <c r="AB27" s="21"/>
    </row>
    <row r="28" spans="2:28">
      <c r="B28" s="17"/>
      <c r="C28" s="18"/>
      <c r="D28" s="19"/>
      <c r="E28" s="20"/>
      <c r="F28" s="21"/>
      <c r="G28" s="20"/>
      <c r="H28" s="21"/>
      <c r="I28" s="20"/>
      <c r="J28" s="21"/>
      <c r="K28" s="20"/>
      <c r="L28" s="21"/>
      <c r="M28" s="20"/>
      <c r="N28" s="21"/>
      <c r="O28" s="20"/>
      <c r="P28" s="21"/>
      <c r="Q28" s="20"/>
      <c r="R28" s="21"/>
      <c r="S28" s="20"/>
      <c r="T28" s="21"/>
      <c r="U28" s="20"/>
      <c r="V28" s="21"/>
      <c r="W28" s="20"/>
      <c r="X28" s="21"/>
      <c r="Y28" s="20"/>
      <c r="Z28" s="21"/>
      <c r="AA28" s="20"/>
      <c r="AB28" s="21"/>
    </row>
    <row r="29" spans="2:28">
      <c r="B29" s="17"/>
      <c r="C29" s="18"/>
      <c r="D29" s="19"/>
      <c r="E29" s="20"/>
      <c r="F29" s="21"/>
      <c r="G29" s="20"/>
      <c r="H29" s="21"/>
      <c r="I29" s="20"/>
      <c r="J29" s="21"/>
      <c r="K29" s="20"/>
      <c r="L29" s="21"/>
      <c r="M29" s="20"/>
      <c r="N29" s="21"/>
      <c r="O29" s="20"/>
      <c r="P29" s="21"/>
      <c r="Q29" s="20"/>
      <c r="R29" s="21"/>
      <c r="S29" s="20"/>
      <c r="T29" s="21"/>
      <c r="U29" s="20"/>
      <c r="V29" s="21"/>
      <c r="W29" s="20"/>
      <c r="X29" s="21"/>
      <c r="Y29" s="20"/>
      <c r="Z29" s="21"/>
      <c r="AA29" s="20"/>
      <c r="AB29" s="21"/>
    </row>
    <row r="30" spans="2:28">
      <c r="B30" s="17"/>
      <c r="C30" s="18"/>
      <c r="D30" s="19"/>
      <c r="E30" s="20"/>
      <c r="F30" s="21"/>
      <c r="G30" s="20"/>
      <c r="H30" s="21"/>
      <c r="I30" s="20"/>
      <c r="J30" s="21"/>
      <c r="K30" s="20"/>
      <c r="L30" s="21"/>
      <c r="M30" s="20"/>
      <c r="N30" s="21"/>
      <c r="O30" s="20"/>
      <c r="P30" s="21"/>
      <c r="Q30" s="20"/>
      <c r="R30" s="21"/>
      <c r="S30" s="20"/>
      <c r="T30" s="21"/>
      <c r="U30" s="20"/>
      <c r="V30" s="21"/>
      <c r="W30" s="20"/>
      <c r="X30" s="21"/>
      <c r="Y30" s="20"/>
      <c r="Z30" s="21"/>
      <c r="AA30" s="20"/>
      <c r="AB30" s="21"/>
    </row>
    <row r="31" spans="2:28">
      <c r="B31" s="17"/>
      <c r="C31" s="18"/>
      <c r="D31" s="19"/>
      <c r="E31" s="20"/>
      <c r="F31" s="21"/>
      <c r="G31" s="20"/>
      <c r="H31" s="21"/>
      <c r="I31" s="20"/>
      <c r="J31" s="21"/>
      <c r="K31" s="20"/>
      <c r="L31" s="21"/>
      <c r="M31" s="20"/>
      <c r="N31" s="21"/>
      <c r="O31" s="20"/>
      <c r="P31" s="21"/>
      <c r="Q31" s="20"/>
      <c r="R31" s="21"/>
      <c r="S31" s="20"/>
      <c r="T31" s="21"/>
      <c r="U31" s="20"/>
      <c r="V31" s="21"/>
      <c r="W31" s="20"/>
      <c r="X31" s="21"/>
      <c r="Y31" s="20"/>
      <c r="Z31" s="21"/>
      <c r="AA31" s="20"/>
      <c r="AB31" s="21"/>
    </row>
    <row r="32" spans="2:28">
      <c r="B32" s="17"/>
      <c r="C32" s="18"/>
      <c r="D32" s="19"/>
      <c r="E32" s="20"/>
      <c r="F32" s="21"/>
      <c r="G32" s="20"/>
      <c r="H32" s="21"/>
      <c r="I32" s="20"/>
      <c r="J32" s="21"/>
      <c r="K32" s="20"/>
      <c r="L32" s="21"/>
      <c r="M32" s="20"/>
      <c r="N32" s="21"/>
      <c r="O32" s="20"/>
      <c r="P32" s="21"/>
      <c r="Q32" s="20"/>
      <c r="R32" s="21"/>
      <c r="S32" s="20"/>
      <c r="T32" s="21"/>
      <c r="U32" s="20"/>
      <c r="V32" s="21"/>
      <c r="W32" s="20"/>
      <c r="X32" s="21"/>
      <c r="Y32" s="20"/>
      <c r="Z32" s="21"/>
      <c r="AA32" s="20"/>
      <c r="AB32" s="21"/>
    </row>
    <row r="33" spans="2:28">
      <c r="B33" s="17"/>
      <c r="C33" s="18"/>
      <c r="D33" s="19"/>
      <c r="E33" s="20"/>
      <c r="F33" s="21"/>
      <c r="G33" s="20"/>
      <c r="H33" s="21"/>
      <c r="I33" s="20"/>
      <c r="J33" s="21"/>
      <c r="K33" s="20"/>
      <c r="L33" s="21"/>
      <c r="M33" s="20"/>
      <c r="N33" s="21"/>
      <c r="O33" s="20"/>
      <c r="P33" s="21"/>
      <c r="Q33" s="20"/>
      <c r="R33" s="21"/>
      <c r="S33" s="20"/>
      <c r="T33" s="21"/>
      <c r="U33" s="20"/>
      <c r="V33" s="21"/>
      <c r="W33" s="20"/>
      <c r="X33" s="21"/>
      <c r="Y33" s="20"/>
      <c r="Z33" s="21"/>
      <c r="AA33" s="20"/>
      <c r="AB33" s="21"/>
    </row>
    <row r="34" spans="2:28">
      <c r="B34" s="17"/>
      <c r="C34" s="18"/>
      <c r="D34" s="19"/>
      <c r="E34" s="20"/>
      <c r="F34" s="21"/>
      <c r="G34" s="20"/>
      <c r="H34" s="21"/>
      <c r="I34" s="20"/>
      <c r="J34" s="21"/>
      <c r="K34" s="20"/>
      <c r="L34" s="21"/>
      <c r="M34" s="20"/>
      <c r="N34" s="21"/>
      <c r="O34" s="20"/>
      <c r="P34" s="21"/>
      <c r="Q34" s="20"/>
      <c r="R34" s="21"/>
      <c r="S34" s="20"/>
      <c r="T34" s="21"/>
      <c r="U34" s="20"/>
      <c r="V34" s="21"/>
      <c r="W34" s="20"/>
      <c r="X34" s="21"/>
      <c r="Y34" s="20"/>
      <c r="Z34" s="21"/>
      <c r="AA34" s="20"/>
      <c r="AB34" s="21"/>
    </row>
    <row r="35" spans="2:28">
      <c r="B35" s="17"/>
      <c r="C35" s="18"/>
      <c r="D35" s="19"/>
      <c r="E35" s="20"/>
      <c r="F35" s="21"/>
      <c r="G35" s="20"/>
      <c r="H35" s="21"/>
      <c r="I35" s="20"/>
      <c r="J35" s="21"/>
      <c r="K35" s="20"/>
      <c r="L35" s="21"/>
      <c r="M35" s="20"/>
      <c r="N35" s="21"/>
      <c r="O35" s="20"/>
      <c r="P35" s="21"/>
      <c r="Q35" s="20"/>
      <c r="R35" s="21"/>
      <c r="S35" s="20"/>
      <c r="T35" s="21"/>
      <c r="U35" s="20"/>
      <c r="V35" s="21"/>
      <c r="W35" s="20"/>
      <c r="X35" s="21"/>
      <c r="Y35" s="20"/>
      <c r="Z35" s="21"/>
      <c r="AA35" s="20"/>
      <c r="AB35" s="21"/>
    </row>
    <row r="36" spans="2:28">
      <c r="B36" s="17"/>
      <c r="C36" s="18"/>
      <c r="D36" s="19"/>
      <c r="E36" s="20"/>
      <c r="F36" s="21"/>
      <c r="G36" s="20"/>
      <c r="H36" s="21"/>
      <c r="I36" s="20"/>
      <c r="J36" s="21"/>
      <c r="K36" s="20"/>
      <c r="L36" s="21"/>
      <c r="M36" s="20"/>
      <c r="N36" s="21"/>
      <c r="O36" s="20"/>
      <c r="P36" s="21"/>
      <c r="Q36" s="20"/>
      <c r="R36" s="21"/>
      <c r="S36" s="20"/>
      <c r="T36" s="21"/>
      <c r="U36" s="20"/>
      <c r="V36" s="21"/>
      <c r="W36" s="20"/>
      <c r="X36" s="21"/>
      <c r="Y36" s="20"/>
      <c r="Z36" s="21"/>
      <c r="AA36" s="20"/>
      <c r="AB36" s="21"/>
    </row>
    <row r="37" spans="2:28">
      <c r="B37" s="17"/>
      <c r="C37" s="18"/>
      <c r="D37" s="19"/>
      <c r="E37" s="20"/>
      <c r="F37" s="21"/>
      <c r="G37" s="20"/>
      <c r="H37" s="21"/>
      <c r="I37" s="20"/>
      <c r="J37" s="21"/>
      <c r="K37" s="20"/>
      <c r="L37" s="21"/>
      <c r="M37" s="20"/>
      <c r="N37" s="21"/>
      <c r="O37" s="20"/>
      <c r="P37" s="21"/>
      <c r="Q37" s="20"/>
      <c r="R37" s="21"/>
      <c r="S37" s="20"/>
      <c r="T37" s="21"/>
      <c r="U37" s="20"/>
      <c r="V37" s="21"/>
      <c r="W37" s="20"/>
      <c r="X37" s="21"/>
      <c r="Y37" s="20"/>
      <c r="Z37" s="21"/>
      <c r="AA37" s="20"/>
      <c r="AB37" s="21"/>
    </row>
    <row r="38" spans="2:28">
      <c r="B38" s="17"/>
      <c r="C38" s="18"/>
      <c r="D38" s="19"/>
      <c r="E38" s="20"/>
      <c r="F38" s="21"/>
      <c r="G38" s="20"/>
      <c r="H38" s="21"/>
      <c r="I38" s="20"/>
      <c r="J38" s="21"/>
      <c r="K38" s="20"/>
      <c r="L38" s="21"/>
      <c r="M38" s="20"/>
      <c r="N38" s="21"/>
      <c r="O38" s="20"/>
      <c r="P38" s="21"/>
      <c r="Q38" s="20"/>
      <c r="R38" s="21"/>
      <c r="S38" s="20"/>
      <c r="T38" s="21"/>
      <c r="U38" s="20"/>
      <c r="V38" s="21"/>
      <c r="W38" s="20"/>
      <c r="X38" s="21"/>
      <c r="Y38" s="20"/>
      <c r="Z38" s="21"/>
      <c r="AA38" s="20"/>
      <c r="AB38" s="21"/>
    </row>
    <row r="39" spans="2:28">
      <c r="B39" s="17"/>
      <c r="C39" s="18"/>
      <c r="D39" s="19"/>
      <c r="E39" s="20"/>
      <c r="F39" s="21"/>
      <c r="G39" s="20"/>
      <c r="H39" s="21"/>
      <c r="I39" s="20"/>
      <c r="J39" s="21"/>
      <c r="K39" s="20"/>
      <c r="L39" s="21"/>
      <c r="M39" s="20"/>
      <c r="N39" s="21"/>
      <c r="O39" s="20"/>
      <c r="P39" s="21"/>
      <c r="Q39" s="3"/>
      <c r="R39" s="3"/>
      <c r="S39" s="3"/>
      <c r="T39" s="3"/>
      <c r="U39" s="3"/>
      <c r="V39" s="3"/>
      <c r="W39" s="3"/>
      <c r="X39" s="3"/>
      <c r="Y39" s="3"/>
      <c r="Z39" s="3"/>
      <c r="AA39" s="20"/>
      <c r="AB39" s="21"/>
    </row>
    <row r="40" spans="2:28">
      <c r="B40" s="17"/>
      <c r="C40" s="18"/>
      <c r="D40" s="19"/>
      <c r="E40" s="20"/>
      <c r="F40" s="21"/>
      <c r="G40" s="20"/>
      <c r="H40" s="21"/>
      <c r="I40" s="20"/>
      <c r="J40" s="21"/>
      <c r="K40" s="20"/>
      <c r="L40" s="21"/>
      <c r="M40" s="20"/>
      <c r="N40" s="21"/>
      <c r="O40" s="20"/>
      <c r="P40" s="21"/>
      <c r="Q40" s="3"/>
      <c r="R40" s="3"/>
      <c r="S40" s="3"/>
      <c r="T40" s="3"/>
      <c r="U40" s="3"/>
      <c r="V40" s="3"/>
      <c r="W40" s="3"/>
      <c r="X40" s="3"/>
      <c r="Y40" s="3"/>
      <c r="Z40" s="3"/>
      <c r="AA40" s="20"/>
      <c r="AB40" s="21"/>
    </row>
    <row r="41" spans="2:28">
      <c r="B41" s="17"/>
      <c r="C41" s="18"/>
      <c r="D41" s="19"/>
      <c r="E41" s="20"/>
      <c r="F41" s="21"/>
      <c r="G41" s="20"/>
      <c r="H41" s="21"/>
      <c r="I41" s="20"/>
      <c r="J41" s="21"/>
      <c r="K41" s="20"/>
      <c r="L41" s="21"/>
      <c r="M41" s="20"/>
      <c r="N41" s="21"/>
      <c r="O41" s="20"/>
      <c r="P41" s="21"/>
      <c r="Q41" s="3"/>
      <c r="R41" s="3"/>
      <c r="S41" s="3"/>
      <c r="T41" s="3"/>
      <c r="U41" s="3"/>
      <c r="V41" s="3"/>
      <c r="W41" s="3"/>
      <c r="X41" s="3"/>
      <c r="Y41" s="3"/>
      <c r="Z41" s="3"/>
      <c r="AA41" s="20"/>
      <c r="AB41" s="21"/>
    </row>
    <row r="42" spans="2:28">
      <c r="B42" s="17"/>
      <c r="C42" s="18"/>
      <c r="D42" s="19"/>
      <c r="E42" s="20"/>
      <c r="F42" s="21"/>
      <c r="G42" s="20"/>
      <c r="H42" s="21"/>
      <c r="I42" s="20"/>
      <c r="J42" s="21"/>
      <c r="K42" s="20"/>
      <c r="L42" s="21"/>
      <c r="M42" s="20"/>
      <c r="N42" s="21"/>
      <c r="O42" s="20"/>
      <c r="P42" s="21"/>
      <c r="Q42" s="3"/>
      <c r="R42" s="3"/>
      <c r="S42" s="3"/>
      <c r="T42" s="3"/>
      <c r="U42" s="3"/>
      <c r="V42" s="3"/>
      <c r="W42" s="3"/>
      <c r="X42" s="3"/>
      <c r="Y42" s="3"/>
      <c r="Z42" s="3"/>
      <c r="AA42" s="20"/>
      <c r="AB42" s="21"/>
    </row>
    <row r="43" spans="2:28">
      <c r="B43" s="17"/>
      <c r="C43" s="18"/>
      <c r="D43" s="19"/>
      <c r="E43" s="20"/>
      <c r="F43" s="21"/>
      <c r="G43" s="20"/>
      <c r="H43" s="21"/>
      <c r="I43" s="20"/>
      <c r="J43" s="21"/>
      <c r="K43" s="20"/>
      <c r="L43" s="21"/>
      <c r="M43" s="20"/>
      <c r="N43" s="21"/>
      <c r="O43" s="20"/>
      <c r="P43" s="21"/>
      <c r="Q43" s="3"/>
      <c r="R43" s="3"/>
      <c r="S43" s="3"/>
      <c r="T43" s="3"/>
      <c r="U43" s="3"/>
      <c r="V43" s="3"/>
      <c r="W43" s="3"/>
      <c r="X43" s="3"/>
      <c r="Y43" s="3"/>
      <c r="Z43" s="3"/>
      <c r="AA43" s="20"/>
      <c r="AB43" s="21"/>
    </row>
    <row r="44" spans="2:28">
      <c r="B44" s="17"/>
      <c r="C44" s="18"/>
      <c r="D44" s="19"/>
      <c r="E44" s="20"/>
      <c r="F44" s="21"/>
      <c r="G44" s="20"/>
      <c r="H44" s="21"/>
      <c r="I44" s="20"/>
      <c r="J44" s="21"/>
      <c r="K44" s="20"/>
      <c r="L44" s="21"/>
      <c r="M44" s="20"/>
      <c r="N44" s="21"/>
      <c r="O44" s="20"/>
      <c r="P44" s="21"/>
      <c r="Q44" s="20"/>
      <c r="R44" s="21"/>
      <c r="S44" s="20"/>
      <c r="T44" s="21"/>
      <c r="U44" s="20"/>
      <c r="V44" s="21"/>
      <c r="W44" s="20"/>
      <c r="X44" s="21"/>
      <c r="Y44" s="20"/>
      <c r="Z44" s="21"/>
      <c r="AA44" s="20"/>
      <c r="AB44" s="21"/>
    </row>
    <row r="45" spans="2:28">
      <c r="B45" s="17"/>
      <c r="C45" s="18"/>
      <c r="D45" s="19"/>
      <c r="E45" s="20"/>
      <c r="F45" s="21"/>
      <c r="G45" s="20"/>
      <c r="H45" s="21"/>
      <c r="I45" s="20"/>
      <c r="J45" s="21"/>
      <c r="K45" s="20"/>
      <c r="L45" s="21"/>
      <c r="M45" s="20"/>
      <c r="N45" s="21"/>
      <c r="O45" s="20"/>
      <c r="P45" s="21"/>
      <c r="Q45" s="20"/>
      <c r="R45" s="21"/>
      <c r="S45" s="20"/>
      <c r="T45" s="21"/>
      <c r="U45" s="20"/>
      <c r="V45" s="21"/>
      <c r="W45" s="20"/>
      <c r="X45" s="21"/>
      <c r="Y45" s="20"/>
      <c r="Z45" s="21"/>
      <c r="AA45" s="20"/>
      <c r="AB45" s="21"/>
    </row>
    <row r="46" spans="2:28">
      <c r="B46" s="17"/>
      <c r="C46" s="18"/>
      <c r="D46" s="19"/>
      <c r="E46" s="20"/>
      <c r="F46" s="21"/>
      <c r="G46" s="20"/>
      <c r="H46" s="21"/>
      <c r="I46" s="20"/>
      <c r="J46" s="21"/>
      <c r="K46" s="20"/>
      <c r="L46" s="21"/>
      <c r="M46" s="20"/>
      <c r="N46" s="21"/>
      <c r="O46" s="20"/>
      <c r="P46" s="21"/>
      <c r="Q46" s="20"/>
      <c r="R46" s="21"/>
      <c r="S46" s="20"/>
      <c r="T46" s="21"/>
      <c r="U46" s="20"/>
      <c r="V46" s="21"/>
      <c r="W46" s="20"/>
      <c r="X46" s="21"/>
      <c r="Y46" s="20"/>
      <c r="Z46" s="21"/>
      <c r="AA46" s="20"/>
      <c r="AB46" s="21"/>
    </row>
    <row r="47" spans="2:28">
      <c r="B47" s="17"/>
      <c r="C47" s="18"/>
      <c r="D47" s="19"/>
      <c r="E47" s="20"/>
      <c r="F47" s="21"/>
      <c r="G47" s="20"/>
      <c r="H47" s="21"/>
      <c r="I47" s="20"/>
      <c r="J47" s="21"/>
      <c r="K47" s="20"/>
      <c r="L47" s="21"/>
      <c r="M47" s="20"/>
      <c r="N47" s="21"/>
      <c r="O47" s="20"/>
      <c r="P47" s="21"/>
      <c r="Q47" s="20"/>
      <c r="R47" s="21"/>
      <c r="S47" s="20"/>
      <c r="T47" s="21"/>
      <c r="U47" s="20"/>
      <c r="V47" s="21"/>
      <c r="W47" s="20"/>
      <c r="X47" s="21"/>
      <c r="Y47" s="20"/>
      <c r="Z47" s="21"/>
      <c r="AA47" s="20"/>
      <c r="AB47" s="21"/>
    </row>
    <row r="48" spans="2:28">
      <c r="B48" s="17"/>
      <c r="C48" s="18"/>
      <c r="D48" s="19"/>
      <c r="E48" s="20"/>
      <c r="F48" s="21"/>
      <c r="G48" s="20"/>
      <c r="H48" s="21"/>
      <c r="I48" s="20"/>
      <c r="J48" s="21"/>
      <c r="K48" s="20"/>
      <c r="L48" s="21"/>
      <c r="M48" s="20"/>
      <c r="N48" s="21"/>
      <c r="O48" s="20"/>
      <c r="P48" s="21"/>
      <c r="Q48" s="20"/>
      <c r="R48" s="21"/>
      <c r="S48" s="20"/>
      <c r="T48" s="21"/>
      <c r="U48" s="20"/>
      <c r="V48" s="21"/>
      <c r="W48" s="20"/>
      <c r="X48" s="21"/>
      <c r="Y48" s="20"/>
      <c r="Z48" s="21"/>
      <c r="AA48" s="20"/>
      <c r="AB48" s="21"/>
    </row>
    <row r="49" spans="2:28">
      <c r="B49" s="17"/>
      <c r="C49" s="18"/>
      <c r="D49" s="19"/>
      <c r="E49" s="20"/>
      <c r="F49" s="21"/>
      <c r="G49" s="20"/>
      <c r="H49" s="21"/>
      <c r="I49" s="20"/>
      <c r="J49" s="21"/>
      <c r="K49" s="20"/>
      <c r="L49" s="21"/>
      <c r="M49" s="20"/>
      <c r="N49" s="21"/>
      <c r="O49" s="20"/>
      <c r="P49" s="21"/>
      <c r="Q49" s="20"/>
      <c r="R49" s="21"/>
      <c r="S49" s="20"/>
      <c r="T49" s="21"/>
      <c r="U49" s="20"/>
      <c r="V49" s="21"/>
      <c r="W49" s="20"/>
      <c r="X49" s="21"/>
      <c r="Y49" s="3"/>
      <c r="Z49" s="3"/>
      <c r="AA49" s="20"/>
      <c r="AB49" s="21"/>
    </row>
    <row r="50" spans="2:28">
      <c r="B50" s="17"/>
      <c r="C50" s="18"/>
      <c r="D50" s="19"/>
      <c r="E50" s="20"/>
      <c r="F50" s="21"/>
      <c r="G50" s="20"/>
      <c r="H50" s="21"/>
      <c r="I50" s="20"/>
      <c r="J50" s="21"/>
      <c r="K50" s="20"/>
      <c r="L50" s="21"/>
      <c r="M50" s="20"/>
      <c r="N50" s="21"/>
      <c r="O50" s="20"/>
      <c r="P50" s="21"/>
      <c r="Q50" s="20"/>
      <c r="R50" s="21"/>
      <c r="S50" s="20"/>
      <c r="T50" s="21"/>
      <c r="U50" s="20"/>
      <c r="V50" s="21"/>
      <c r="W50" s="20"/>
      <c r="X50" s="21"/>
      <c r="Y50" s="3"/>
      <c r="Z50" s="3"/>
      <c r="AA50" s="20"/>
      <c r="AB50" s="21"/>
    </row>
    <row r="51" spans="2:28">
      <c r="B51" s="17"/>
      <c r="C51" s="18"/>
      <c r="D51" s="19"/>
      <c r="E51" s="20"/>
      <c r="F51" s="21"/>
      <c r="G51" s="20"/>
      <c r="H51" s="21"/>
      <c r="I51" s="20"/>
      <c r="J51" s="21"/>
      <c r="K51" s="20"/>
      <c r="L51" s="21"/>
      <c r="M51" s="20"/>
      <c r="N51" s="21"/>
      <c r="O51" s="20"/>
      <c r="P51" s="21"/>
      <c r="Q51" s="20"/>
      <c r="R51" s="21"/>
      <c r="S51" s="20"/>
      <c r="T51" s="21"/>
      <c r="U51" s="20"/>
      <c r="V51" s="21"/>
      <c r="W51" s="20"/>
      <c r="X51" s="21"/>
      <c r="Y51" s="3"/>
      <c r="Z51" s="3"/>
      <c r="AA51" s="20"/>
      <c r="AB51" s="21"/>
    </row>
    <row r="52" spans="2:28">
      <c r="B52" s="17"/>
      <c r="C52" s="18"/>
      <c r="D52" s="19"/>
      <c r="E52" s="20"/>
      <c r="F52" s="21"/>
      <c r="G52" s="20"/>
      <c r="H52" s="21"/>
      <c r="I52" s="20"/>
      <c r="J52" s="21"/>
      <c r="K52" s="20"/>
      <c r="L52" s="21"/>
      <c r="M52" s="20"/>
      <c r="N52" s="21"/>
      <c r="O52" s="20"/>
      <c r="P52" s="21"/>
      <c r="Q52" s="20"/>
      <c r="R52" s="21"/>
      <c r="S52" s="20"/>
      <c r="T52" s="21"/>
      <c r="U52" s="20"/>
      <c r="V52" s="21"/>
      <c r="W52" s="20"/>
      <c r="X52" s="21"/>
      <c r="Y52" s="3"/>
      <c r="Z52" s="3"/>
      <c r="AA52" s="20"/>
      <c r="AB52" s="21"/>
    </row>
    <row r="53" spans="2:28">
      <c r="B53" s="17"/>
      <c r="C53" s="18"/>
      <c r="D53" s="19"/>
      <c r="E53" s="20"/>
      <c r="F53" s="21"/>
      <c r="G53" s="20"/>
      <c r="H53" s="21"/>
      <c r="I53" s="20"/>
      <c r="J53" s="21"/>
      <c r="K53" s="20"/>
      <c r="L53" s="21"/>
      <c r="M53" s="20"/>
      <c r="N53" s="21"/>
      <c r="O53" s="20"/>
      <c r="P53" s="21"/>
      <c r="Q53" s="20"/>
      <c r="R53" s="21"/>
      <c r="S53" s="20"/>
      <c r="T53" s="21"/>
      <c r="U53" s="20"/>
      <c r="V53" s="21"/>
      <c r="W53" s="20"/>
      <c r="X53" s="21"/>
      <c r="Y53" s="3"/>
      <c r="Z53" s="3"/>
      <c r="AA53" s="20"/>
      <c r="AB53" s="21"/>
    </row>
    <row r="54" spans="2:28">
      <c r="B54" s="17"/>
      <c r="C54" s="18"/>
      <c r="D54" s="19"/>
      <c r="E54" s="20"/>
      <c r="F54" s="21"/>
      <c r="G54" s="20"/>
      <c r="H54" s="21"/>
      <c r="I54" s="20"/>
      <c r="J54" s="21"/>
      <c r="K54" s="20"/>
      <c r="L54" s="21"/>
      <c r="M54" s="20"/>
      <c r="N54" s="21"/>
      <c r="O54" s="20"/>
      <c r="P54" s="21"/>
      <c r="Q54" s="20"/>
      <c r="R54" s="21"/>
      <c r="S54" s="20"/>
      <c r="T54" s="21"/>
      <c r="U54" s="20"/>
      <c r="V54" s="21"/>
      <c r="W54" s="20"/>
      <c r="X54" s="21"/>
      <c r="Y54" s="3"/>
      <c r="Z54" s="3"/>
      <c r="AA54" s="20"/>
      <c r="AB54" s="21"/>
    </row>
    <row r="55" spans="2:28">
      <c r="B55" s="17"/>
      <c r="C55" s="18"/>
      <c r="D55" s="19"/>
      <c r="E55" s="20"/>
      <c r="F55" s="21"/>
      <c r="G55" s="20"/>
      <c r="H55" s="21"/>
      <c r="I55" s="20"/>
      <c r="J55" s="21"/>
      <c r="K55" s="20"/>
      <c r="L55" s="21"/>
      <c r="M55" s="20"/>
      <c r="N55" s="21"/>
      <c r="O55" s="20"/>
      <c r="P55" s="21"/>
      <c r="Q55" s="20"/>
      <c r="R55" s="21"/>
      <c r="S55" s="20"/>
      <c r="T55" s="21"/>
      <c r="U55" s="20"/>
      <c r="V55" s="21"/>
      <c r="W55" s="20"/>
      <c r="X55" s="21"/>
      <c r="Y55" s="3"/>
      <c r="Z55" s="3"/>
      <c r="AA55" s="20"/>
      <c r="AB55" s="21"/>
    </row>
    <row r="56" spans="2:28">
      <c r="B56" s="17"/>
      <c r="C56" s="18"/>
      <c r="D56" s="19"/>
      <c r="E56" s="20"/>
      <c r="F56" s="21"/>
      <c r="G56" s="20"/>
      <c r="H56" s="21"/>
      <c r="I56" s="20"/>
      <c r="J56" s="21"/>
      <c r="K56" s="20"/>
      <c r="L56" s="21"/>
      <c r="M56" s="20"/>
      <c r="N56" s="21"/>
      <c r="O56" s="20"/>
      <c r="P56" s="21"/>
      <c r="Q56" s="20"/>
      <c r="R56" s="21"/>
      <c r="S56" s="20"/>
      <c r="T56" s="21"/>
      <c r="U56" s="20"/>
      <c r="V56" s="21"/>
      <c r="W56" s="20"/>
      <c r="X56" s="21"/>
      <c r="Y56" s="3"/>
      <c r="Z56" s="3"/>
      <c r="AA56" s="20"/>
      <c r="AB56" s="21"/>
    </row>
    <row r="57" spans="2:28">
      <c r="B57" s="17"/>
      <c r="C57" s="18"/>
      <c r="D57" s="19"/>
      <c r="E57" s="20"/>
      <c r="F57" s="21"/>
      <c r="G57" s="20"/>
      <c r="H57" s="21"/>
      <c r="I57" s="20"/>
      <c r="J57" s="21"/>
      <c r="K57" s="20"/>
      <c r="L57" s="21"/>
      <c r="M57" s="20"/>
      <c r="N57" s="21"/>
      <c r="O57" s="20"/>
      <c r="P57" s="21"/>
      <c r="Q57" s="20"/>
      <c r="R57" s="21"/>
      <c r="S57" s="20"/>
      <c r="T57" s="21"/>
      <c r="U57" s="20"/>
      <c r="V57" s="21"/>
      <c r="W57" s="20"/>
      <c r="X57" s="21"/>
      <c r="Y57" s="3"/>
      <c r="Z57" s="3"/>
      <c r="AA57" s="20"/>
      <c r="AB57" s="21"/>
    </row>
    <row r="58" spans="2:28">
      <c r="B58" s="17"/>
      <c r="C58" s="18"/>
      <c r="D58" s="19"/>
      <c r="E58" s="20"/>
      <c r="F58" s="21"/>
      <c r="G58" s="20"/>
      <c r="H58" s="21"/>
      <c r="I58" s="20"/>
      <c r="J58" s="21"/>
      <c r="K58" s="20"/>
      <c r="L58" s="21"/>
      <c r="M58" s="20"/>
      <c r="N58" s="21"/>
      <c r="O58" s="20"/>
      <c r="P58" s="21"/>
      <c r="Q58" s="20"/>
      <c r="R58" s="21"/>
      <c r="S58" s="20"/>
      <c r="T58" s="21"/>
      <c r="U58" s="20"/>
      <c r="V58" s="21"/>
      <c r="W58" s="20"/>
      <c r="X58" s="21"/>
      <c r="Y58" s="3"/>
      <c r="Z58" s="3"/>
      <c r="AA58" s="20"/>
      <c r="AB58" s="21"/>
    </row>
    <row r="59" spans="2:28">
      <c r="B59" s="17"/>
      <c r="C59" s="18"/>
      <c r="D59" s="19"/>
      <c r="E59" s="20"/>
      <c r="F59" s="21"/>
      <c r="G59" s="20"/>
      <c r="H59" s="21"/>
      <c r="I59" s="20"/>
      <c r="J59" s="21"/>
      <c r="K59" s="20"/>
      <c r="L59" s="21"/>
      <c r="M59" s="20"/>
      <c r="N59" s="21"/>
      <c r="O59" s="20"/>
      <c r="P59" s="21"/>
      <c r="Q59" s="20"/>
      <c r="R59" s="21"/>
      <c r="S59" s="20"/>
      <c r="T59" s="21"/>
      <c r="U59" s="20"/>
      <c r="V59" s="21"/>
      <c r="W59" s="20"/>
      <c r="X59" s="21"/>
      <c r="Y59" s="3"/>
      <c r="Z59" s="3"/>
      <c r="AA59" s="20"/>
      <c r="AB59" s="21"/>
    </row>
    <row r="60" spans="2:28">
      <c r="B60" s="17"/>
      <c r="C60" s="18"/>
      <c r="D60" s="19"/>
      <c r="E60" s="20"/>
      <c r="F60" s="21"/>
      <c r="G60" s="20"/>
      <c r="H60" s="21"/>
      <c r="I60" s="20"/>
      <c r="J60" s="21"/>
      <c r="K60" s="20"/>
      <c r="L60" s="21"/>
      <c r="M60" s="20"/>
      <c r="N60" s="21"/>
      <c r="O60" s="20"/>
      <c r="P60" s="21"/>
      <c r="Q60" s="20"/>
      <c r="R60" s="21"/>
      <c r="S60" s="20"/>
      <c r="T60" s="21"/>
      <c r="U60" s="20"/>
      <c r="V60" s="21"/>
      <c r="W60" s="20"/>
      <c r="X60" s="21"/>
      <c r="Y60" s="3"/>
      <c r="Z60" s="3"/>
      <c r="AA60" s="20"/>
      <c r="AB60" s="21"/>
    </row>
    <row r="61" spans="2:28">
      <c r="B61" s="17"/>
      <c r="C61" s="18"/>
      <c r="D61" s="19"/>
      <c r="E61" s="20"/>
      <c r="F61" s="21"/>
      <c r="G61" s="20"/>
      <c r="H61" s="21"/>
      <c r="I61" s="20"/>
      <c r="J61" s="21"/>
      <c r="K61" s="20"/>
      <c r="L61" s="21"/>
      <c r="M61" s="20"/>
      <c r="N61" s="21"/>
      <c r="O61" s="20"/>
      <c r="P61" s="21"/>
      <c r="Q61" s="20"/>
      <c r="R61" s="21"/>
      <c r="S61" s="20"/>
      <c r="T61" s="21"/>
      <c r="U61" s="20"/>
      <c r="V61" s="21"/>
      <c r="W61" s="20"/>
      <c r="X61" s="21"/>
      <c r="Y61" s="3"/>
      <c r="Z61" s="3"/>
      <c r="AA61" s="20"/>
      <c r="AB61" s="21"/>
    </row>
    <row r="62" spans="2:28">
      <c r="B62" s="17"/>
      <c r="C62" s="18"/>
      <c r="D62" s="19"/>
      <c r="E62" s="20"/>
      <c r="F62" s="21"/>
      <c r="G62" s="20"/>
      <c r="H62" s="21"/>
      <c r="I62" s="20"/>
      <c r="J62" s="21"/>
      <c r="K62" s="20"/>
      <c r="L62" s="21"/>
      <c r="M62" s="20"/>
      <c r="N62" s="21"/>
      <c r="O62" s="20"/>
      <c r="P62" s="21"/>
      <c r="Q62" s="20"/>
      <c r="R62" s="21"/>
      <c r="S62" s="20"/>
      <c r="T62" s="21"/>
      <c r="U62" s="20"/>
      <c r="V62" s="21"/>
      <c r="W62" s="20"/>
      <c r="X62" s="21"/>
      <c r="Y62" s="3"/>
      <c r="Z62" s="3"/>
      <c r="AA62" s="20"/>
      <c r="AB62" s="21"/>
    </row>
    <row r="63" spans="2:28">
      <c r="B63" s="17"/>
      <c r="C63" s="18"/>
      <c r="D63" s="19"/>
      <c r="E63" s="20"/>
      <c r="F63" s="21"/>
      <c r="G63" s="20"/>
      <c r="H63" s="21"/>
      <c r="I63" s="20"/>
      <c r="J63" s="21"/>
      <c r="K63" s="20"/>
      <c r="L63" s="21"/>
      <c r="M63" s="20"/>
      <c r="N63" s="21"/>
      <c r="O63" s="20"/>
      <c r="P63" s="21"/>
      <c r="Q63" s="20"/>
      <c r="R63" s="21"/>
      <c r="S63" s="20"/>
      <c r="T63" s="21"/>
      <c r="U63" s="20"/>
      <c r="V63" s="21"/>
      <c r="W63" s="20"/>
      <c r="X63" s="21"/>
      <c r="Y63" s="3"/>
      <c r="Z63" s="3"/>
      <c r="AA63" s="20"/>
      <c r="AB63" s="21"/>
    </row>
    <row r="64" spans="2:28">
      <c r="B64" s="17"/>
      <c r="C64" s="18"/>
      <c r="D64" s="19"/>
      <c r="E64" s="20"/>
      <c r="F64" s="21"/>
      <c r="G64" s="20"/>
      <c r="H64" s="21"/>
      <c r="I64" s="20"/>
      <c r="J64" s="21"/>
      <c r="K64" s="20"/>
      <c r="L64" s="21"/>
      <c r="M64" s="20"/>
      <c r="N64" s="21"/>
      <c r="O64" s="20"/>
      <c r="P64" s="21"/>
      <c r="Q64" s="20"/>
      <c r="R64" s="21"/>
      <c r="S64" s="20"/>
      <c r="T64" s="21"/>
      <c r="U64" s="20"/>
      <c r="V64" s="21"/>
      <c r="W64" s="20"/>
      <c r="X64" s="21"/>
      <c r="Y64" s="3"/>
      <c r="Z64" s="3"/>
      <c r="AA64" s="20"/>
      <c r="AB64" s="21"/>
    </row>
    <row r="65" spans="2:28">
      <c r="B65" s="17"/>
      <c r="C65" s="18"/>
      <c r="D65" s="19"/>
      <c r="E65" s="20"/>
      <c r="F65" s="21"/>
      <c r="G65" s="20"/>
      <c r="H65" s="21"/>
      <c r="I65" s="20"/>
      <c r="J65" s="21"/>
      <c r="K65" s="20"/>
      <c r="L65" s="21"/>
      <c r="M65" s="20"/>
      <c r="N65" s="21"/>
      <c r="O65" s="20"/>
      <c r="P65" s="21"/>
      <c r="Q65" s="20"/>
      <c r="R65" s="21"/>
      <c r="S65" s="20"/>
      <c r="T65" s="21"/>
      <c r="U65" s="20"/>
      <c r="V65" s="21"/>
      <c r="W65" s="20"/>
      <c r="X65" s="21"/>
      <c r="Y65" s="3"/>
      <c r="Z65" s="3"/>
      <c r="AA65" s="20"/>
      <c r="AB65" s="21"/>
    </row>
    <row r="66" spans="2:28">
      <c r="B66" s="17"/>
      <c r="C66" s="18"/>
      <c r="D66" s="19"/>
      <c r="E66" s="20"/>
      <c r="F66" s="21"/>
      <c r="G66" s="20"/>
      <c r="H66" s="21"/>
      <c r="I66" s="20"/>
      <c r="J66" s="21"/>
      <c r="K66" s="20"/>
      <c r="L66" s="21"/>
      <c r="M66" s="20"/>
      <c r="N66" s="21"/>
      <c r="O66" s="20"/>
      <c r="P66" s="21"/>
      <c r="Q66" s="20"/>
      <c r="R66" s="21"/>
      <c r="S66" s="20"/>
      <c r="T66" s="21"/>
      <c r="U66" s="20"/>
      <c r="V66" s="21"/>
      <c r="W66" s="20"/>
      <c r="X66" s="21"/>
      <c r="Y66" s="3"/>
      <c r="Z66" s="3"/>
      <c r="AA66" s="20"/>
      <c r="AB66" s="21"/>
    </row>
    <row r="67" spans="2:28">
      <c r="B67" s="17"/>
      <c r="C67" s="18"/>
      <c r="D67" s="19"/>
      <c r="E67" s="20"/>
      <c r="F67" s="21"/>
      <c r="G67" s="20"/>
      <c r="H67" s="21"/>
      <c r="I67" s="20"/>
      <c r="J67" s="21"/>
      <c r="K67" s="20"/>
      <c r="L67" s="21"/>
      <c r="M67" s="20"/>
      <c r="N67" s="21"/>
      <c r="O67" s="20"/>
      <c r="P67" s="21"/>
      <c r="Q67" s="20"/>
      <c r="R67" s="21"/>
      <c r="S67" s="20"/>
      <c r="T67" s="21"/>
      <c r="U67" s="20"/>
      <c r="V67" s="21"/>
      <c r="W67" s="20"/>
      <c r="X67" s="21"/>
      <c r="Y67" s="3"/>
      <c r="Z67" s="3"/>
      <c r="AA67" s="20"/>
      <c r="AB67" s="21"/>
    </row>
    <row r="68" spans="2:28">
      <c r="B68" s="17"/>
      <c r="C68" s="18"/>
      <c r="D68" s="19"/>
      <c r="E68" s="20"/>
      <c r="F68" s="21"/>
      <c r="G68" s="20"/>
      <c r="H68" s="21"/>
      <c r="I68" s="20"/>
      <c r="J68" s="21"/>
      <c r="K68" s="20"/>
      <c r="L68" s="21"/>
      <c r="M68" s="20"/>
      <c r="N68" s="21"/>
      <c r="O68" s="20"/>
      <c r="P68" s="21"/>
      <c r="Q68" s="20"/>
      <c r="R68" s="21"/>
      <c r="S68" s="20"/>
      <c r="T68" s="21"/>
      <c r="U68" s="20"/>
      <c r="V68" s="21"/>
      <c r="W68" s="20"/>
      <c r="X68" s="21"/>
      <c r="Y68" s="3"/>
      <c r="Z68" s="3"/>
      <c r="AA68" s="20"/>
      <c r="AB68" s="21"/>
    </row>
    <row r="69" spans="2:28">
      <c r="B69" s="17"/>
      <c r="C69" s="18"/>
      <c r="D69" s="19"/>
      <c r="E69" s="20"/>
      <c r="F69" s="21"/>
      <c r="G69" s="20"/>
      <c r="H69" s="21"/>
      <c r="I69" s="20"/>
      <c r="J69" s="21"/>
      <c r="K69" s="20"/>
      <c r="L69" s="21"/>
      <c r="M69" s="20"/>
      <c r="N69" s="21"/>
      <c r="O69" s="20"/>
      <c r="P69" s="21"/>
      <c r="Q69" s="20"/>
      <c r="R69" s="21"/>
      <c r="S69" s="20"/>
      <c r="T69" s="21"/>
      <c r="U69" s="20"/>
      <c r="V69" s="21"/>
      <c r="W69" s="20"/>
      <c r="X69" s="21"/>
      <c r="Y69" s="3"/>
      <c r="Z69" s="3"/>
      <c r="AA69" s="20"/>
      <c r="AB69" s="21"/>
    </row>
    <row r="70" spans="2:28">
      <c r="B70" s="17"/>
      <c r="C70" s="18"/>
      <c r="D70" s="19"/>
      <c r="E70" s="20"/>
      <c r="F70" s="21"/>
      <c r="G70" s="20"/>
      <c r="H70" s="21"/>
      <c r="I70" s="20"/>
      <c r="J70" s="21"/>
      <c r="K70" s="20"/>
      <c r="L70" s="21"/>
      <c r="M70" s="20"/>
      <c r="N70" s="21"/>
      <c r="O70" s="20"/>
      <c r="P70" s="21"/>
      <c r="Q70" s="20"/>
      <c r="R70" s="21"/>
      <c r="S70" s="20"/>
      <c r="T70" s="21"/>
      <c r="U70" s="20"/>
      <c r="V70" s="21"/>
      <c r="W70" s="20"/>
      <c r="X70" s="21"/>
      <c r="Y70" s="3"/>
      <c r="Z70" s="3"/>
      <c r="AA70" s="20"/>
      <c r="AB70" s="21"/>
    </row>
    <row r="71" spans="2:28">
      <c r="B71" s="17"/>
      <c r="C71" s="18"/>
      <c r="D71" s="19"/>
      <c r="E71" s="20"/>
      <c r="F71" s="21"/>
      <c r="G71" s="20"/>
      <c r="H71" s="21"/>
      <c r="I71" s="20"/>
      <c r="J71" s="21"/>
      <c r="K71" s="20"/>
      <c r="L71" s="21"/>
      <c r="M71" s="20"/>
      <c r="N71" s="21"/>
      <c r="O71" s="20"/>
      <c r="P71" s="21"/>
      <c r="Q71" s="20"/>
      <c r="R71" s="21"/>
      <c r="S71" s="20"/>
      <c r="T71" s="21"/>
      <c r="U71" s="20"/>
      <c r="V71" s="21"/>
      <c r="W71" s="20"/>
      <c r="X71" s="21"/>
      <c r="Y71" s="3"/>
      <c r="Z71" s="3"/>
      <c r="AA71" s="20"/>
      <c r="AB71" s="21"/>
    </row>
    <row r="72" spans="2:28">
      <c r="B72" s="17"/>
      <c r="C72" s="18"/>
      <c r="D72" s="19"/>
      <c r="E72" s="20"/>
      <c r="F72" s="21"/>
      <c r="G72" s="20"/>
      <c r="H72" s="21"/>
      <c r="I72" s="20"/>
      <c r="J72" s="21"/>
      <c r="K72" s="20"/>
      <c r="L72" s="21"/>
      <c r="M72" s="20"/>
      <c r="N72" s="21"/>
      <c r="O72" s="20"/>
      <c r="P72" s="21"/>
      <c r="Q72" s="20"/>
      <c r="R72" s="21"/>
      <c r="S72" s="20"/>
      <c r="T72" s="21"/>
      <c r="U72" s="20"/>
      <c r="V72" s="21"/>
      <c r="W72" s="20"/>
      <c r="X72" s="21"/>
      <c r="Y72" s="3"/>
      <c r="Z72" s="3"/>
      <c r="AA72" s="20"/>
      <c r="AB72" s="21"/>
    </row>
    <row r="73" spans="2:28">
      <c r="B73" s="17"/>
      <c r="C73" s="18"/>
      <c r="D73" s="19"/>
      <c r="E73" s="20"/>
      <c r="F73" s="21"/>
      <c r="G73" s="20"/>
      <c r="H73" s="21"/>
      <c r="I73" s="20"/>
      <c r="J73" s="21"/>
      <c r="K73" s="20"/>
      <c r="L73" s="21"/>
      <c r="M73" s="20"/>
      <c r="N73" s="21"/>
      <c r="O73" s="20"/>
      <c r="P73" s="21"/>
      <c r="Q73" s="20"/>
      <c r="R73" s="21"/>
      <c r="S73" s="20"/>
      <c r="T73" s="21"/>
      <c r="U73" s="20"/>
      <c r="V73" s="21"/>
      <c r="W73" s="20"/>
      <c r="X73" s="21"/>
      <c r="Y73" s="3"/>
      <c r="Z73" s="3"/>
      <c r="AA73" s="20"/>
      <c r="AB73" s="21"/>
    </row>
    <row r="74" spans="2:28">
      <c r="B74" s="17"/>
      <c r="C74" s="18"/>
      <c r="D74" s="19"/>
      <c r="E74" s="20"/>
      <c r="F74" s="21"/>
      <c r="G74" s="20"/>
      <c r="H74" s="21"/>
      <c r="I74" s="20"/>
      <c r="J74" s="21"/>
      <c r="K74" s="20"/>
      <c r="L74" s="21"/>
      <c r="M74" s="20"/>
      <c r="N74" s="21"/>
      <c r="O74" s="20"/>
      <c r="P74" s="21"/>
      <c r="Q74" s="20"/>
      <c r="R74" s="21"/>
      <c r="S74" s="20"/>
      <c r="T74" s="21"/>
      <c r="U74" s="20"/>
      <c r="V74" s="21"/>
      <c r="W74" s="20"/>
      <c r="X74" s="21"/>
      <c r="Y74" s="3"/>
      <c r="Z74" s="3"/>
      <c r="AA74" s="20"/>
      <c r="AB74" s="21"/>
    </row>
    <row r="75" spans="2:28">
      <c r="B75" s="17"/>
      <c r="C75" s="18"/>
      <c r="D75" s="19"/>
      <c r="E75" s="20"/>
      <c r="F75" s="21"/>
      <c r="G75" s="20"/>
      <c r="H75" s="21"/>
      <c r="I75" s="20"/>
      <c r="J75" s="21"/>
      <c r="K75" s="20"/>
      <c r="L75" s="21"/>
      <c r="M75" s="20"/>
      <c r="N75" s="21"/>
      <c r="O75" s="20"/>
      <c r="P75" s="21"/>
      <c r="Q75" s="20"/>
      <c r="R75" s="21"/>
      <c r="S75" s="20"/>
      <c r="T75" s="21"/>
      <c r="U75" s="20"/>
      <c r="V75" s="21"/>
      <c r="W75" s="20"/>
      <c r="X75" s="21"/>
      <c r="Y75" s="3"/>
      <c r="Z75" s="3"/>
      <c r="AA75" s="20"/>
      <c r="AB75" s="21"/>
    </row>
    <row r="76" spans="2:28">
      <c r="B76" s="17"/>
      <c r="C76" s="18"/>
      <c r="D76" s="19"/>
      <c r="E76" s="20"/>
      <c r="F76" s="21"/>
      <c r="G76" s="20"/>
      <c r="H76" s="21"/>
      <c r="I76" s="20"/>
      <c r="J76" s="21"/>
      <c r="K76" s="20"/>
      <c r="L76" s="21"/>
      <c r="M76" s="20"/>
      <c r="N76" s="21"/>
      <c r="O76" s="20"/>
      <c r="P76" s="21"/>
      <c r="Q76" s="20"/>
      <c r="R76" s="21"/>
      <c r="S76" s="20"/>
      <c r="T76" s="21"/>
      <c r="U76" s="20"/>
      <c r="V76" s="21"/>
      <c r="W76" s="20"/>
      <c r="X76" s="21"/>
      <c r="Y76" s="3"/>
      <c r="Z76" s="3"/>
      <c r="AA76" s="20"/>
      <c r="AB76" s="21"/>
    </row>
    <row r="77" spans="2:28">
      <c r="B77" s="17"/>
      <c r="C77" s="18"/>
      <c r="D77" s="19"/>
      <c r="E77" s="20"/>
      <c r="F77" s="21"/>
      <c r="G77" s="20"/>
      <c r="H77" s="21"/>
      <c r="I77" s="20"/>
      <c r="J77" s="21"/>
      <c r="K77" s="20"/>
      <c r="L77" s="21"/>
      <c r="M77" s="20"/>
      <c r="N77" s="21"/>
      <c r="O77" s="20"/>
      <c r="P77" s="21"/>
      <c r="Q77" s="20"/>
      <c r="R77" s="21"/>
      <c r="S77" s="20"/>
      <c r="T77" s="21"/>
      <c r="U77" s="20"/>
      <c r="V77" s="21"/>
      <c r="W77" s="20"/>
      <c r="X77" s="21"/>
      <c r="Y77" s="3"/>
      <c r="Z77" s="3"/>
      <c r="AA77" s="20"/>
      <c r="AB77" s="21"/>
    </row>
    <row r="78" spans="2:28">
      <c r="B78" s="17"/>
      <c r="C78" s="18"/>
      <c r="D78" s="19"/>
      <c r="E78" s="20"/>
      <c r="F78" s="21"/>
      <c r="G78" s="20"/>
      <c r="H78" s="21"/>
      <c r="I78" s="20"/>
      <c r="J78" s="21"/>
      <c r="K78" s="20"/>
      <c r="L78" s="21"/>
      <c r="M78" s="20"/>
      <c r="N78" s="21"/>
      <c r="O78" s="20"/>
      <c r="P78" s="21"/>
      <c r="Q78" s="20"/>
      <c r="R78" s="21"/>
      <c r="S78" s="20"/>
      <c r="T78" s="21"/>
      <c r="U78" s="20"/>
      <c r="V78" s="21"/>
      <c r="W78" s="20"/>
      <c r="X78" s="21"/>
      <c r="Y78" s="3"/>
      <c r="Z78" s="3"/>
      <c r="AA78" s="20"/>
      <c r="AB78" s="21"/>
    </row>
    <row r="79" spans="2:28">
      <c r="B79" s="17"/>
      <c r="C79" s="18"/>
      <c r="D79" s="19"/>
      <c r="E79" s="20"/>
      <c r="F79" s="21"/>
      <c r="G79" s="20"/>
      <c r="H79" s="21"/>
      <c r="I79" s="20"/>
      <c r="J79" s="21"/>
      <c r="K79" s="20"/>
      <c r="L79" s="21"/>
      <c r="M79" s="20"/>
      <c r="N79" s="21"/>
      <c r="O79" s="20"/>
      <c r="P79" s="21"/>
      <c r="Q79" s="20"/>
      <c r="R79" s="21"/>
      <c r="S79" s="20"/>
      <c r="T79" s="21"/>
      <c r="U79" s="20"/>
      <c r="V79" s="21"/>
      <c r="W79" s="20"/>
      <c r="X79" s="21"/>
      <c r="Y79" s="3"/>
      <c r="Z79" s="3"/>
      <c r="AA79" s="20"/>
      <c r="AB79" s="21"/>
    </row>
    <row r="80" spans="2:28">
      <c r="B80" s="17"/>
      <c r="C80" s="18"/>
      <c r="D80" s="19"/>
      <c r="E80" s="20"/>
      <c r="F80" s="21"/>
      <c r="G80" s="20"/>
      <c r="H80" s="21"/>
      <c r="I80" s="20"/>
      <c r="J80" s="21"/>
      <c r="K80" s="20"/>
      <c r="L80" s="21"/>
      <c r="M80" s="20"/>
      <c r="N80" s="21"/>
      <c r="O80" s="20"/>
      <c r="P80" s="21"/>
      <c r="Q80" s="20"/>
      <c r="R80" s="21"/>
      <c r="S80" s="20"/>
      <c r="T80" s="21"/>
      <c r="U80" s="20"/>
      <c r="V80" s="21"/>
      <c r="W80" s="20"/>
      <c r="X80" s="21"/>
      <c r="Y80" s="3"/>
      <c r="Z80" s="3"/>
      <c r="AA80" s="20"/>
      <c r="AB80" s="21"/>
    </row>
    <row r="81" spans="2:28">
      <c r="B81" s="17"/>
      <c r="C81" s="18"/>
      <c r="D81" s="19"/>
      <c r="E81" s="20"/>
      <c r="F81" s="21"/>
      <c r="G81" s="20"/>
      <c r="H81" s="21"/>
      <c r="I81" s="20"/>
      <c r="J81" s="21"/>
      <c r="K81" s="20"/>
      <c r="L81" s="21"/>
      <c r="M81" s="20"/>
      <c r="N81" s="21"/>
      <c r="O81" s="20"/>
      <c r="P81" s="21"/>
      <c r="Q81" s="20"/>
      <c r="R81" s="21"/>
      <c r="S81" s="20"/>
      <c r="T81" s="21"/>
      <c r="U81" s="20"/>
      <c r="V81" s="21"/>
      <c r="W81" s="20"/>
      <c r="X81" s="21"/>
      <c r="Y81" s="3"/>
      <c r="Z81" s="3"/>
      <c r="AA81" s="20"/>
      <c r="AB81" s="21"/>
    </row>
    <row r="82" spans="2:28">
      <c r="B82" s="17"/>
      <c r="C82" s="18"/>
      <c r="D82" s="19"/>
      <c r="E82" s="20"/>
      <c r="F82" s="21"/>
      <c r="G82" s="20"/>
      <c r="H82" s="21"/>
      <c r="I82" s="20"/>
      <c r="J82" s="21"/>
      <c r="K82" s="20"/>
      <c r="L82" s="21"/>
      <c r="M82" s="20"/>
      <c r="N82" s="21"/>
      <c r="O82" s="20"/>
      <c r="P82" s="21"/>
      <c r="Q82" s="20"/>
      <c r="R82" s="21"/>
      <c r="S82" s="20"/>
      <c r="T82" s="21"/>
      <c r="U82" s="20"/>
      <c r="V82" s="21"/>
      <c r="W82" s="20"/>
      <c r="X82" s="21"/>
      <c r="Y82" s="3"/>
      <c r="Z82" s="3"/>
      <c r="AA82" s="20"/>
      <c r="AB82" s="21"/>
    </row>
    <row r="83" spans="2:28">
      <c r="B83" s="17"/>
      <c r="C83" s="18"/>
      <c r="D83" s="19"/>
      <c r="E83" s="20"/>
      <c r="F83" s="21"/>
      <c r="G83" s="20"/>
      <c r="H83" s="21"/>
      <c r="I83" s="20"/>
      <c r="J83" s="21"/>
      <c r="K83" s="20"/>
      <c r="L83" s="21"/>
      <c r="M83" s="20"/>
      <c r="N83" s="21"/>
      <c r="O83" s="20"/>
      <c r="P83" s="21"/>
      <c r="Q83" s="20"/>
      <c r="R83" s="21"/>
      <c r="S83" s="20"/>
      <c r="T83" s="21"/>
      <c r="U83" s="20"/>
      <c r="V83" s="21"/>
      <c r="W83" s="20"/>
      <c r="X83" s="21"/>
      <c r="Y83" s="3"/>
      <c r="Z83" s="3"/>
      <c r="AA83" s="20"/>
      <c r="AB83" s="21"/>
    </row>
    <row r="84" spans="2:28">
      <c r="B84" s="17"/>
      <c r="C84" s="18"/>
      <c r="D84" s="19"/>
      <c r="E84" s="20"/>
      <c r="F84" s="21"/>
      <c r="G84" s="20"/>
      <c r="H84" s="21"/>
      <c r="I84" s="20"/>
      <c r="J84" s="21"/>
      <c r="K84" s="20"/>
      <c r="L84" s="21"/>
      <c r="M84" s="20"/>
      <c r="N84" s="21"/>
      <c r="O84" s="20"/>
      <c r="P84" s="21"/>
      <c r="Q84" s="20"/>
      <c r="R84" s="21"/>
      <c r="S84" s="20"/>
      <c r="T84" s="21"/>
      <c r="U84" s="20"/>
      <c r="V84" s="21"/>
      <c r="W84" s="20"/>
      <c r="X84" s="21"/>
      <c r="Y84" s="3"/>
      <c r="Z84" s="3"/>
      <c r="AA84" s="20"/>
      <c r="AB84" s="21"/>
    </row>
    <row r="85" spans="2:28">
      <c r="B85" s="17"/>
      <c r="C85" s="18"/>
      <c r="D85" s="19"/>
      <c r="E85" s="20"/>
      <c r="F85" s="21"/>
      <c r="G85" s="20"/>
      <c r="H85" s="21"/>
      <c r="I85" s="20"/>
      <c r="J85" s="21"/>
      <c r="K85" s="20"/>
      <c r="L85" s="21"/>
      <c r="M85" s="20"/>
      <c r="N85" s="21"/>
      <c r="O85" s="20"/>
      <c r="P85" s="21"/>
      <c r="Q85" s="20"/>
      <c r="R85" s="21"/>
      <c r="S85" s="20"/>
      <c r="T85" s="21"/>
      <c r="U85" s="20"/>
      <c r="V85" s="21"/>
      <c r="W85" s="20"/>
      <c r="X85" s="21"/>
      <c r="Y85" s="3"/>
      <c r="Z85" s="3"/>
      <c r="AA85" s="20"/>
      <c r="AB85" s="21"/>
    </row>
    <row r="86" spans="2:28">
      <c r="B86" s="17"/>
      <c r="C86" s="18"/>
      <c r="D86" s="19"/>
      <c r="E86" s="20"/>
      <c r="F86" s="21"/>
      <c r="G86" s="20"/>
      <c r="H86" s="21"/>
      <c r="I86" s="20"/>
      <c r="J86" s="21"/>
      <c r="K86" s="20"/>
      <c r="L86" s="21"/>
      <c r="M86" s="20"/>
      <c r="N86" s="21"/>
      <c r="O86" s="20"/>
      <c r="P86" s="21"/>
      <c r="Q86" s="20"/>
      <c r="R86" s="21"/>
      <c r="S86" s="20"/>
      <c r="T86" s="21"/>
      <c r="U86" s="20"/>
      <c r="V86" s="21"/>
      <c r="W86" s="20"/>
      <c r="X86" s="21"/>
      <c r="Y86" s="3"/>
      <c r="Z86" s="3"/>
      <c r="AA86" s="20"/>
      <c r="AB86" s="21"/>
    </row>
    <row r="87" spans="2:28">
      <c r="B87" s="17"/>
      <c r="C87" s="18"/>
      <c r="D87" s="19"/>
      <c r="E87" s="20"/>
      <c r="F87" s="21"/>
      <c r="G87" s="20"/>
      <c r="H87" s="21"/>
      <c r="I87" s="20"/>
      <c r="J87" s="21"/>
      <c r="K87" s="20"/>
      <c r="L87" s="21"/>
      <c r="M87" s="20"/>
      <c r="N87" s="21"/>
      <c r="O87" s="20"/>
      <c r="P87" s="21"/>
      <c r="Q87" s="20"/>
      <c r="R87" s="21"/>
      <c r="S87" s="20"/>
      <c r="T87" s="21"/>
      <c r="U87" s="20"/>
      <c r="V87" s="21"/>
      <c r="W87" s="20"/>
      <c r="X87" s="21"/>
      <c r="Y87" s="3"/>
      <c r="Z87" s="3"/>
      <c r="AA87" s="20"/>
      <c r="AB87" s="21"/>
    </row>
    <row r="88" spans="2:28">
      <c r="B88" s="17"/>
      <c r="C88" s="18"/>
      <c r="D88" s="19"/>
      <c r="E88" s="20"/>
      <c r="F88" s="21"/>
      <c r="G88" s="20"/>
      <c r="H88" s="21"/>
      <c r="I88" s="20"/>
      <c r="J88" s="21"/>
      <c r="K88" s="20"/>
      <c r="L88" s="21"/>
      <c r="M88" s="20"/>
      <c r="N88" s="21"/>
      <c r="O88" s="20"/>
      <c r="P88" s="21"/>
      <c r="Q88" s="20"/>
      <c r="R88" s="21"/>
      <c r="S88" s="20"/>
      <c r="T88" s="21"/>
      <c r="U88" s="20"/>
      <c r="V88" s="21"/>
      <c r="W88" s="20"/>
      <c r="X88" s="21"/>
      <c r="Y88" s="3"/>
      <c r="Z88" s="3"/>
      <c r="AA88" s="20"/>
      <c r="AB88" s="21"/>
    </row>
    <row r="89" spans="2:28">
      <c r="B89" s="17"/>
      <c r="C89" s="18"/>
      <c r="D89" s="19"/>
      <c r="E89" s="20"/>
      <c r="F89" s="21"/>
      <c r="G89" s="20"/>
      <c r="H89" s="21"/>
      <c r="I89" s="20"/>
      <c r="J89" s="21"/>
      <c r="K89" s="20"/>
      <c r="L89" s="21"/>
      <c r="M89" s="20"/>
      <c r="N89" s="21"/>
      <c r="O89" s="20"/>
      <c r="P89" s="21"/>
      <c r="Q89" s="20"/>
      <c r="R89" s="21"/>
      <c r="S89" s="20"/>
      <c r="T89" s="21"/>
      <c r="U89" s="20"/>
      <c r="V89" s="21"/>
      <c r="W89" s="20"/>
      <c r="X89" s="21"/>
      <c r="Y89" s="3"/>
      <c r="Z89" s="3"/>
      <c r="AA89" s="20"/>
      <c r="AB89" s="21"/>
    </row>
    <row r="90" spans="2:28">
      <c r="B90" s="17"/>
      <c r="C90" s="18"/>
      <c r="D90" s="19"/>
      <c r="E90" s="20"/>
      <c r="F90" s="21"/>
      <c r="G90" s="20"/>
      <c r="H90" s="21"/>
      <c r="I90" s="20"/>
      <c r="J90" s="21"/>
      <c r="K90" s="20"/>
      <c r="L90" s="21"/>
      <c r="M90" s="20"/>
      <c r="N90" s="21"/>
      <c r="O90" s="20"/>
      <c r="P90" s="21"/>
      <c r="Q90" s="20"/>
      <c r="R90" s="21"/>
      <c r="S90" s="20"/>
      <c r="T90" s="21"/>
      <c r="U90" s="20"/>
      <c r="V90" s="21"/>
      <c r="W90" s="20"/>
      <c r="X90" s="21"/>
      <c r="Y90" s="3"/>
      <c r="Z90" s="3"/>
      <c r="AA90" s="20"/>
      <c r="AB90" s="21"/>
    </row>
    <row r="91" spans="2:28">
      <c r="B91" s="17"/>
      <c r="C91" s="18"/>
      <c r="D91" s="19"/>
      <c r="E91" s="20"/>
      <c r="F91" s="21"/>
      <c r="G91" s="20"/>
      <c r="H91" s="21"/>
      <c r="I91" s="20"/>
      <c r="J91" s="21"/>
      <c r="K91" s="20"/>
      <c r="L91" s="21"/>
      <c r="M91" s="20"/>
      <c r="N91" s="21"/>
      <c r="O91" s="20"/>
      <c r="P91" s="21"/>
      <c r="Q91" s="3"/>
      <c r="R91" s="3"/>
      <c r="S91" s="3"/>
      <c r="T91" s="3"/>
      <c r="U91" s="3"/>
      <c r="V91" s="3"/>
      <c r="W91" s="3"/>
      <c r="X91" s="3"/>
      <c r="Y91" s="3"/>
      <c r="Z91" s="3"/>
      <c r="AA91" s="20"/>
      <c r="AB91" s="21"/>
    </row>
    <row r="92" spans="2:28">
      <c r="B92" s="17"/>
      <c r="C92" s="18"/>
      <c r="D92" s="19"/>
      <c r="E92" s="20"/>
      <c r="F92" s="21"/>
      <c r="G92" s="20"/>
      <c r="H92" s="21"/>
      <c r="I92" s="20"/>
      <c r="J92" s="21"/>
      <c r="K92" s="20"/>
      <c r="L92" s="21"/>
      <c r="M92" s="20"/>
      <c r="N92" s="21"/>
      <c r="O92" s="20"/>
      <c r="P92" s="21"/>
      <c r="Q92" s="3"/>
      <c r="R92" s="3"/>
      <c r="S92" s="3"/>
      <c r="T92" s="3"/>
      <c r="U92" s="3"/>
      <c r="V92" s="3"/>
      <c r="W92" s="3"/>
      <c r="X92" s="3"/>
      <c r="Y92" s="3"/>
      <c r="Z92" s="3"/>
      <c r="AA92" s="20"/>
      <c r="AB92" s="21"/>
    </row>
    <row r="93" spans="2:28">
      <c r="B93" s="17"/>
      <c r="C93" s="18"/>
      <c r="D93" s="19"/>
      <c r="E93" s="20"/>
      <c r="F93" s="21"/>
      <c r="G93" s="20"/>
      <c r="H93" s="21"/>
      <c r="I93" s="20"/>
      <c r="J93" s="21"/>
      <c r="K93" s="20"/>
      <c r="L93" s="21"/>
      <c r="M93" s="20"/>
      <c r="N93" s="21"/>
      <c r="O93" s="20"/>
      <c r="P93" s="21"/>
      <c r="Q93" s="3"/>
      <c r="R93" s="3"/>
      <c r="S93" s="3"/>
      <c r="T93" s="3"/>
      <c r="U93" s="3"/>
      <c r="V93" s="3"/>
      <c r="W93" s="3"/>
      <c r="X93" s="3"/>
      <c r="Y93" s="3"/>
      <c r="Z93" s="3"/>
      <c r="AA93" s="20"/>
      <c r="AB93" s="21"/>
    </row>
    <row r="94" spans="2:28">
      <c r="B94" s="17"/>
      <c r="C94" s="18"/>
      <c r="D94" s="19"/>
      <c r="E94" s="20"/>
      <c r="F94" s="21"/>
      <c r="G94" s="20"/>
      <c r="H94" s="21"/>
      <c r="I94" s="20"/>
      <c r="J94" s="21"/>
      <c r="K94" s="20"/>
      <c r="L94" s="21"/>
      <c r="M94" s="20"/>
      <c r="N94" s="21"/>
      <c r="O94" s="20"/>
      <c r="P94" s="21"/>
      <c r="Q94" s="3"/>
      <c r="R94" s="3"/>
      <c r="S94" s="3"/>
      <c r="T94" s="3"/>
      <c r="U94" s="3"/>
      <c r="V94" s="3"/>
      <c r="W94" s="3"/>
      <c r="X94" s="3"/>
      <c r="Y94" s="3"/>
      <c r="Z94" s="3"/>
      <c r="AA94" s="20"/>
      <c r="AB94" s="21"/>
    </row>
    <row r="95" spans="2:28">
      <c r="B95" s="17"/>
      <c r="C95" s="18"/>
      <c r="D95" s="19"/>
      <c r="E95" s="20"/>
      <c r="F95" s="21"/>
      <c r="G95" s="20"/>
      <c r="H95" s="21"/>
      <c r="I95" s="20"/>
      <c r="J95" s="21"/>
      <c r="K95" s="20"/>
      <c r="L95" s="21"/>
      <c r="M95" s="20"/>
      <c r="N95" s="21"/>
      <c r="O95" s="20"/>
      <c r="P95" s="21"/>
      <c r="Q95" s="3"/>
      <c r="R95" s="3"/>
      <c r="S95" s="3"/>
      <c r="T95" s="3"/>
      <c r="U95" s="3"/>
      <c r="V95" s="3"/>
      <c r="W95" s="3"/>
      <c r="X95" s="3"/>
      <c r="Y95" s="3"/>
      <c r="Z95" s="3"/>
      <c r="AA95" s="20"/>
      <c r="AB95" s="21"/>
    </row>
    <row r="96" spans="2:28">
      <c r="B96" s="17"/>
      <c r="C96" s="18"/>
      <c r="D96" s="19"/>
      <c r="E96" s="20"/>
      <c r="F96" s="21"/>
      <c r="G96" s="20"/>
      <c r="H96" s="21"/>
      <c r="I96" s="20"/>
      <c r="J96" s="21"/>
      <c r="K96" s="20"/>
      <c r="L96" s="21"/>
      <c r="M96" s="20"/>
      <c r="N96" s="21"/>
      <c r="O96" s="20"/>
      <c r="P96" s="21"/>
      <c r="Q96" s="20"/>
      <c r="R96" s="21"/>
      <c r="S96" s="20"/>
      <c r="T96" s="21"/>
      <c r="U96" s="20"/>
      <c r="V96" s="21"/>
      <c r="W96" s="20"/>
      <c r="X96" s="21"/>
      <c r="Y96" s="3"/>
      <c r="Z96" s="3"/>
      <c r="AA96" s="20"/>
      <c r="AB96" s="21"/>
    </row>
    <row r="97" spans="2:28">
      <c r="B97" s="17"/>
      <c r="C97" s="18"/>
      <c r="D97" s="19"/>
      <c r="E97" s="20"/>
      <c r="F97" s="21"/>
      <c r="G97" s="20"/>
      <c r="H97" s="21"/>
      <c r="I97" s="20"/>
      <c r="J97" s="21"/>
      <c r="K97" s="20"/>
      <c r="L97" s="21"/>
      <c r="M97" s="20"/>
      <c r="N97" s="21"/>
      <c r="O97" s="20"/>
      <c r="P97" s="21"/>
      <c r="Q97" s="20"/>
      <c r="R97" s="21"/>
      <c r="S97" s="20"/>
      <c r="T97" s="21"/>
      <c r="U97" s="20"/>
      <c r="V97" s="21"/>
      <c r="W97" s="20"/>
      <c r="X97" s="21"/>
      <c r="Y97" s="3"/>
      <c r="Z97" s="3"/>
      <c r="AA97" s="20"/>
      <c r="AB97" s="21"/>
    </row>
    <row r="98" spans="2:28">
      <c r="B98" s="17"/>
      <c r="C98" s="18"/>
      <c r="D98" s="19"/>
      <c r="E98" s="20"/>
      <c r="F98" s="21"/>
      <c r="G98" s="20"/>
      <c r="H98" s="21"/>
      <c r="I98" s="20"/>
      <c r="J98" s="21"/>
      <c r="K98" s="20"/>
      <c r="L98" s="21"/>
      <c r="M98" s="20"/>
      <c r="N98" s="21"/>
      <c r="O98" s="20"/>
      <c r="P98" s="21"/>
      <c r="Q98" s="20"/>
      <c r="R98" s="21"/>
      <c r="S98" s="20"/>
      <c r="T98" s="21"/>
      <c r="U98" s="20"/>
      <c r="V98" s="21"/>
      <c r="W98" s="20"/>
      <c r="X98" s="21"/>
      <c r="Y98" s="3"/>
      <c r="Z98" s="3"/>
      <c r="AA98" s="20"/>
      <c r="AB98" s="21"/>
    </row>
    <row r="99" spans="2:28">
      <c r="B99" s="17"/>
      <c r="C99" s="18"/>
      <c r="D99" s="19"/>
      <c r="E99" s="20"/>
      <c r="F99" s="21"/>
      <c r="G99" s="20"/>
      <c r="H99" s="21"/>
      <c r="I99" s="20"/>
      <c r="J99" s="21"/>
      <c r="K99" s="20"/>
      <c r="L99" s="21"/>
      <c r="M99" s="20"/>
      <c r="N99" s="21"/>
      <c r="O99" s="20"/>
      <c r="P99" s="21"/>
      <c r="Q99" s="20"/>
      <c r="R99" s="21"/>
      <c r="S99" s="20"/>
      <c r="T99" s="21"/>
      <c r="U99" s="20"/>
      <c r="V99" s="21"/>
      <c r="W99" s="20"/>
      <c r="X99" s="21"/>
      <c r="Y99" s="3"/>
      <c r="Z99" s="3"/>
      <c r="AA99" s="20"/>
      <c r="AB99" s="21"/>
    </row>
    <row r="100" spans="2:28">
      <c r="B100" s="17"/>
      <c r="C100" s="18"/>
      <c r="D100" s="19"/>
      <c r="E100" s="20"/>
      <c r="F100" s="21"/>
      <c r="G100" s="20"/>
      <c r="H100" s="21"/>
      <c r="I100" s="20"/>
      <c r="J100" s="21"/>
      <c r="K100" s="20"/>
      <c r="L100" s="21"/>
      <c r="M100" s="20"/>
      <c r="N100" s="21"/>
      <c r="O100" s="20"/>
      <c r="P100" s="21"/>
      <c r="Q100" s="20"/>
      <c r="R100" s="21"/>
      <c r="S100" s="20"/>
      <c r="T100" s="21"/>
      <c r="U100" s="20"/>
      <c r="V100" s="21"/>
      <c r="W100" s="20"/>
      <c r="X100" s="21"/>
      <c r="Y100" s="3"/>
      <c r="Z100" s="3"/>
      <c r="AA100" s="20"/>
      <c r="AB100" s="21"/>
    </row>
    <row r="101" spans="2:28">
      <c r="B101" s="17"/>
      <c r="C101" s="18"/>
      <c r="D101" s="19"/>
      <c r="E101" s="20"/>
      <c r="F101" s="21"/>
      <c r="G101" s="20"/>
      <c r="H101" s="21"/>
      <c r="I101" s="20"/>
      <c r="J101" s="21"/>
      <c r="K101" s="20"/>
      <c r="L101" s="21"/>
      <c r="M101" s="20"/>
      <c r="N101" s="21"/>
      <c r="O101" s="20"/>
      <c r="P101" s="21"/>
      <c r="Q101" s="20"/>
      <c r="R101" s="21"/>
      <c r="S101" s="20"/>
      <c r="T101" s="21"/>
      <c r="U101" s="20"/>
      <c r="V101" s="21"/>
      <c r="W101" s="20"/>
      <c r="X101" s="21"/>
      <c r="Y101" s="3"/>
      <c r="Z101" s="3"/>
      <c r="AA101" s="20"/>
      <c r="AB101" s="21"/>
    </row>
    <row r="102" spans="2:28">
      <c r="B102" s="17"/>
      <c r="C102" s="18"/>
      <c r="D102" s="19"/>
      <c r="E102" s="20"/>
      <c r="F102" s="21"/>
      <c r="G102" s="20"/>
      <c r="H102" s="21"/>
      <c r="I102" s="20"/>
      <c r="J102" s="21"/>
      <c r="K102" s="20"/>
      <c r="L102" s="21"/>
      <c r="M102" s="20"/>
      <c r="N102" s="21"/>
      <c r="O102" s="20"/>
      <c r="P102" s="21"/>
      <c r="Q102" s="20"/>
      <c r="R102" s="21"/>
      <c r="S102" s="20"/>
      <c r="T102" s="21"/>
      <c r="U102" s="20"/>
      <c r="V102" s="21"/>
      <c r="W102" s="20"/>
      <c r="X102" s="21"/>
      <c r="Y102" s="3"/>
      <c r="Z102" s="3"/>
      <c r="AA102" s="20"/>
      <c r="AB102" s="21"/>
    </row>
    <row r="103" spans="2:28">
      <c r="B103" s="17"/>
      <c r="C103" s="18"/>
      <c r="D103" s="19"/>
      <c r="E103" s="20"/>
      <c r="F103" s="21"/>
      <c r="G103" s="20"/>
      <c r="H103" s="21"/>
      <c r="I103" s="20"/>
      <c r="J103" s="21"/>
      <c r="K103" s="20"/>
      <c r="L103" s="21"/>
      <c r="M103" s="20"/>
      <c r="N103" s="21"/>
      <c r="O103" s="20"/>
      <c r="P103" s="21"/>
      <c r="Q103" s="20"/>
      <c r="R103" s="21"/>
      <c r="S103" s="20"/>
      <c r="T103" s="21"/>
      <c r="U103" s="20"/>
      <c r="V103" s="21"/>
      <c r="W103" s="20"/>
      <c r="X103" s="21"/>
      <c r="Y103" s="3"/>
      <c r="Z103" s="3"/>
      <c r="AA103" s="20"/>
      <c r="AB103" s="21"/>
    </row>
    <row r="104" spans="2:28">
      <c r="B104" s="17"/>
      <c r="C104" s="18"/>
      <c r="D104" s="19"/>
      <c r="E104" s="20"/>
      <c r="F104" s="21"/>
      <c r="G104" s="20"/>
      <c r="H104" s="21"/>
      <c r="I104" s="20"/>
      <c r="J104" s="21"/>
      <c r="K104" s="20"/>
      <c r="L104" s="21"/>
      <c r="M104" s="20"/>
      <c r="N104" s="21"/>
      <c r="O104" s="20"/>
      <c r="P104" s="21"/>
      <c r="Q104" s="20"/>
      <c r="R104" s="21"/>
      <c r="S104" s="20"/>
      <c r="T104" s="21"/>
      <c r="U104" s="20"/>
      <c r="V104" s="21"/>
      <c r="W104" s="20"/>
      <c r="X104" s="21"/>
      <c r="Y104" s="20"/>
      <c r="Z104" s="21"/>
      <c r="AA104" s="20"/>
      <c r="AB104" s="21"/>
    </row>
    <row r="105" spans="2:28">
      <c r="B105" s="17"/>
      <c r="C105" s="18"/>
      <c r="D105" s="19"/>
      <c r="E105" s="20"/>
      <c r="F105" s="21"/>
      <c r="G105" s="20"/>
      <c r="H105" s="21"/>
      <c r="I105" s="20"/>
      <c r="J105" s="21"/>
      <c r="K105" s="20"/>
      <c r="L105" s="21"/>
      <c r="M105" s="20"/>
      <c r="N105" s="21"/>
      <c r="O105" s="20"/>
      <c r="P105" s="21"/>
      <c r="Q105" s="20"/>
      <c r="R105" s="21"/>
      <c r="S105" s="20"/>
      <c r="T105" s="21"/>
      <c r="U105" s="20"/>
      <c r="V105" s="21"/>
      <c r="W105" s="20"/>
      <c r="X105" s="21"/>
      <c r="Y105" s="20"/>
      <c r="Z105" s="21"/>
      <c r="AA105" s="20"/>
      <c r="AB105" s="21"/>
    </row>
    <row r="106" spans="2:28">
      <c r="B106" s="17"/>
      <c r="C106" s="18"/>
      <c r="D106" s="19"/>
      <c r="E106" s="20"/>
      <c r="F106" s="21"/>
      <c r="G106" s="20"/>
      <c r="H106" s="21"/>
      <c r="I106" s="20"/>
      <c r="J106" s="21"/>
      <c r="K106" s="20"/>
      <c r="L106" s="21"/>
      <c r="M106" s="20"/>
      <c r="N106" s="21"/>
      <c r="O106" s="20"/>
      <c r="P106" s="21"/>
      <c r="Q106" s="20"/>
      <c r="R106" s="21"/>
      <c r="S106" s="20"/>
      <c r="T106" s="21"/>
      <c r="U106" s="20"/>
      <c r="V106" s="21"/>
      <c r="W106" s="20"/>
      <c r="X106" s="21"/>
      <c r="Y106" s="20"/>
      <c r="Z106" s="21"/>
      <c r="AA106" s="20"/>
      <c r="AB106" s="21"/>
    </row>
    <row r="107" spans="2:28">
      <c r="B107" s="17"/>
      <c r="C107" s="18"/>
      <c r="D107" s="19"/>
      <c r="E107" s="20"/>
      <c r="F107" s="21"/>
      <c r="G107" s="20"/>
      <c r="H107" s="21"/>
      <c r="I107" s="20"/>
      <c r="J107" s="21"/>
      <c r="K107" s="20"/>
      <c r="L107" s="21"/>
      <c r="M107" s="20"/>
      <c r="N107" s="21"/>
      <c r="O107" s="20"/>
      <c r="P107" s="21"/>
      <c r="Q107" s="20"/>
      <c r="R107" s="21"/>
      <c r="S107" s="20"/>
      <c r="T107" s="21"/>
      <c r="U107" s="20"/>
      <c r="V107" s="21"/>
      <c r="W107" s="20"/>
      <c r="X107" s="21"/>
      <c r="Y107" s="20"/>
      <c r="Z107" s="21"/>
      <c r="AA107" s="20"/>
      <c r="AB107" s="21"/>
    </row>
    <row r="108" spans="2:28">
      <c r="B108" s="17"/>
      <c r="C108" s="18"/>
      <c r="D108" s="19"/>
      <c r="E108" s="20"/>
      <c r="F108" s="21"/>
      <c r="G108" s="20"/>
      <c r="H108" s="21"/>
      <c r="I108" s="20"/>
      <c r="J108" s="21"/>
      <c r="K108" s="20"/>
      <c r="L108" s="21"/>
      <c r="M108" s="20"/>
      <c r="N108" s="21"/>
      <c r="O108" s="20"/>
      <c r="P108" s="21"/>
      <c r="Q108" s="20"/>
      <c r="R108" s="21"/>
      <c r="S108" s="20"/>
      <c r="T108" s="21"/>
      <c r="U108" s="20"/>
      <c r="V108" s="21"/>
      <c r="W108" s="20"/>
      <c r="X108" s="21"/>
      <c r="Y108" s="20"/>
      <c r="Z108" s="21"/>
      <c r="AA108" s="20"/>
      <c r="AB108" s="21"/>
    </row>
    <row r="109" spans="2:28">
      <c r="B109" s="17"/>
      <c r="C109" s="18"/>
      <c r="D109" s="19"/>
      <c r="E109" s="20"/>
      <c r="F109" s="21"/>
      <c r="G109" s="20"/>
      <c r="H109" s="21"/>
      <c r="I109" s="20"/>
      <c r="J109" s="21"/>
      <c r="K109" s="20"/>
      <c r="L109" s="21"/>
      <c r="M109" s="20"/>
      <c r="N109" s="21"/>
      <c r="O109" s="20"/>
      <c r="P109" s="21"/>
      <c r="Q109" s="20"/>
      <c r="R109" s="21"/>
      <c r="S109" s="20"/>
      <c r="T109" s="21"/>
      <c r="U109" s="20"/>
      <c r="V109" s="21"/>
      <c r="W109" s="20"/>
      <c r="X109" s="21"/>
      <c r="Y109" s="20"/>
      <c r="Z109" s="21"/>
      <c r="AA109" s="20"/>
      <c r="AB109" s="21"/>
    </row>
    <row r="110" spans="2:28">
      <c r="B110" s="17"/>
      <c r="C110" s="18"/>
      <c r="D110" s="19"/>
      <c r="E110" s="20"/>
      <c r="F110" s="21"/>
      <c r="G110" s="20"/>
      <c r="H110" s="21"/>
      <c r="I110" s="20"/>
      <c r="J110" s="21"/>
      <c r="K110" s="20"/>
      <c r="L110" s="21"/>
      <c r="M110" s="20"/>
      <c r="N110" s="21"/>
      <c r="O110" s="20"/>
      <c r="P110" s="21"/>
      <c r="Q110" s="20"/>
      <c r="R110" s="21"/>
      <c r="S110" s="20"/>
      <c r="T110" s="21"/>
      <c r="U110" s="20"/>
      <c r="V110" s="21"/>
      <c r="W110" s="20"/>
      <c r="X110" s="21"/>
      <c r="Y110" s="20"/>
      <c r="Z110" s="21"/>
      <c r="AA110" s="20"/>
      <c r="AB110" s="21"/>
    </row>
    <row r="111" spans="2:28">
      <c r="B111" s="17"/>
      <c r="C111" s="18"/>
      <c r="D111" s="19"/>
      <c r="E111" s="20"/>
      <c r="F111" s="21"/>
      <c r="G111" s="20"/>
      <c r="H111" s="21"/>
      <c r="I111" s="20"/>
      <c r="J111" s="21"/>
      <c r="K111" s="20"/>
      <c r="L111" s="21"/>
      <c r="M111" s="20"/>
      <c r="N111" s="21"/>
      <c r="O111" s="20"/>
      <c r="P111" s="21"/>
      <c r="Q111" s="20"/>
      <c r="R111" s="21"/>
      <c r="S111" s="20"/>
      <c r="T111" s="21"/>
      <c r="U111" s="20"/>
      <c r="V111" s="21"/>
      <c r="W111" s="20"/>
      <c r="X111" s="21"/>
      <c r="Y111" s="20"/>
      <c r="Z111" s="21"/>
      <c r="AA111" s="20"/>
      <c r="AB111" s="21"/>
    </row>
    <row r="112" spans="2:28">
      <c r="B112" s="17"/>
      <c r="C112" s="18"/>
      <c r="D112" s="19"/>
      <c r="E112" s="20"/>
      <c r="F112" s="21"/>
      <c r="G112" s="20"/>
      <c r="H112" s="21"/>
      <c r="I112" s="20"/>
      <c r="J112" s="21"/>
      <c r="K112" s="20"/>
      <c r="L112" s="21"/>
      <c r="M112" s="20"/>
      <c r="N112" s="21"/>
      <c r="O112" s="20"/>
      <c r="P112" s="21"/>
      <c r="Q112" s="20"/>
      <c r="R112" s="21"/>
      <c r="S112" s="20"/>
      <c r="T112" s="21"/>
      <c r="U112" s="20"/>
      <c r="V112" s="21"/>
      <c r="W112" s="20"/>
      <c r="X112" s="21"/>
      <c r="Y112" s="20"/>
      <c r="Z112" s="21"/>
      <c r="AA112" s="20"/>
      <c r="AB112" s="21"/>
    </row>
    <row r="113" spans="2:28">
      <c r="B113" s="17"/>
      <c r="C113" s="18"/>
      <c r="D113" s="19"/>
      <c r="E113" s="20"/>
      <c r="F113" s="21"/>
      <c r="G113" s="20"/>
      <c r="H113" s="21"/>
      <c r="I113" s="20"/>
      <c r="J113" s="21"/>
      <c r="K113" s="20"/>
      <c r="L113" s="21"/>
      <c r="M113" s="20"/>
      <c r="N113" s="21"/>
      <c r="O113" s="20"/>
      <c r="P113" s="21"/>
      <c r="Q113" s="20"/>
      <c r="R113" s="21"/>
      <c r="S113" s="20"/>
      <c r="T113" s="21"/>
      <c r="U113" s="20"/>
      <c r="V113" s="21"/>
      <c r="W113" s="20"/>
      <c r="X113" s="21"/>
      <c r="Y113" s="20"/>
      <c r="Z113" s="21"/>
      <c r="AA113" s="20"/>
      <c r="AB113" s="21"/>
    </row>
    <row r="114" spans="2:28">
      <c r="B114" s="17"/>
      <c r="C114" s="18"/>
      <c r="D114" s="19"/>
      <c r="E114" s="20"/>
      <c r="F114" s="21"/>
      <c r="G114" s="20"/>
      <c r="H114" s="21"/>
      <c r="I114" s="20"/>
      <c r="J114" s="21"/>
      <c r="K114" s="20"/>
      <c r="L114" s="21"/>
      <c r="M114" s="20"/>
      <c r="N114" s="21"/>
      <c r="O114" s="20"/>
      <c r="P114" s="21"/>
      <c r="Q114" s="20"/>
      <c r="R114" s="21"/>
      <c r="S114" s="20"/>
      <c r="T114" s="21"/>
      <c r="U114" s="20"/>
      <c r="V114" s="21"/>
      <c r="W114" s="20"/>
      <c r="X114" s="21"/>
      <c r="Y114" s="20"/>
      <c r="Z114" s="21"/>
      <c r="AA114" s="20"/>
      <c r="AB114" s="21"/>
    </row>
    <row r="115" spans="2:28">
      <c r="B115" s="17"/>
      <c r="C115" s="18"/>
      <c r="D115" s="19"/>
      <c r="E115" s="20"/>
      <c r="F115" s="21"/>
      <c r="G115" s="20"/>
      <c r="H115" s="21"/>
      <c r="I115" s="20"/>
      <c r="J115" s="21"/>
      <c r="K115" s="20"/>
      <c r="L115" s="21"/>
      <c r="M115" s="20"/>
      <c r="N115" s="21"/>
      <c r="O115" s="20"/>
      <c r="P115" s="21"/>
      <c r="Q115" s="20"/>
      <c r="R115" s="21"/>
      <c r="S115" s="20"/>
      <c r="T115" s="21"/>
      <c r="U115" s="20"/>
      <c r="V115" s="21"/>
      <c r="W115" s="20"/>
      <c r="X115" s="21"/>
      <c r="Y115" s="20"/>
      <c r="Z115" s="21"/>
      <c r="AA115" s="20"/>
      <c r="AB115" s="21"/>
    </row>
    <row r="116" spans="2:28">
      <c r="B116" s="17"/>
      <c r="C116" s="18"/>
      <c r="D116" s="19"/>
      <c r="E116" s="20"/>
      <c r="F116" s="21"/>
      <c r="G116" s="20"/>
      <c r="H116" s="21"/>
      <c r="I116" s="20"/>
      <c r="J116" s="21"/>
      <c r="K116" s="20"/>
      <c r="L116" s="21"/>
      <c r="M116" s="20"/>
      <c r="N116" s="21"/>
      <c r="O116" s="20"/>
      <c r="P116" s="21"/>
      <c r="Q116" s="20"/>
      <c r="R116" s="21"/>
      <c r="S116" s="20"/>
      <c r="T116" s="21"/>
      <c r="U116" s="20"/>
      <c r="V116" s="21"/>
      <c r="W116" s="20"/>
      <c r="X116" s="21"/>
      <c r="Y116" s="20"/>
      <c r="Z116" s="21"/>
      <c r="AA116" s="20"/>
      <c r="AB116" s="21"/>
    </row>
    <row r="117" spans="2:28">
      <c r="B117" s="17"/>
      <c r="C117" s="18"/>
      <c r="D117" s="19"/>
      <c r="E117" s="20"/>
      <c r="F117" s="21"/>
      <c r="G117" s="20"/>
      <c r="H117" s="21"/>
      <c r="I117" s="20"/>
      <c r="J117" s="21"/>
      <c r="K117" s="20"/>
      <c r="L117" s="21"/>
      <c r="M117" s="20"/>
      <c r="N117" s="21"/>
      <c r="O117" s="20"/>
      <c r="P117" s="21"/>
      <c r="Q117" s="20"/>
      <c r="R117" s="21"/>
      <c r="S117" s="20"/>
      <c r="T117" s="21"/>
      <c r="U117" s="20"/>
      <c r="V117" s="21"/>
      <c r="W117" s="20"/>
      <c r="X117" s="21"/>
      <c r="Y117" s="20"/>
      <c r="Z117" s="21"/>
      <c r="AA117" s="20"/>
      <c r="AB117" s="21"/>
    </row>
    <row r="118" spans="2:28">
      <c r="B118" s="17"/>
      <c r="C118" s="18"/>
      <c r="D118" s="19"/>
      <c r="E118" s="20"/>
      <c r="F118" s="21"/>
      <c r="G118" s="20"/>
      <c r="H118" s="21"/>
      <c r="I118" s="20"/>
      <c r="J118" s="21"/>
      <c r="K118" s="20"/>
      <c r="L118" s="21"/>
      <c r="M118" s="20"/>
      <c r="N118" s="21"/>
      <c r="O118" s="20"/>
      <c r="P118" s="21"/>
      <c r="Q118" s="20"/>
      <c r="R118" s="21"/>
      <c r="S118" s="20"/>
      <c r="T118" s="21"/>
      <c r="U118" s="20"/>
      <c r="V118" s="21"/>
      <c r="W118" s="20"/>
      <c r="X118" s="21"/>
      <c r="Y118" s="20"/>
      <c r="Z118" s="21"/>
      <c r="AA118" s="20"/>
      <c r="AB118" s="21"/>
    </row>
    <row r="119" spans="2:28">
      <c r="B119" s="17"/>
      <c r="C119" s="18"/>
      <c r="D119" s="19"/>
      <c r="E119" s="20"/>
      <c r="F119" s="21"/>
      <c r="G119" s="20"/>
      <c r="H119" s="21"/>
      <c r="I119" s="20"/>
      <c r="J119" s="21"/>
      <c r="K119" s="20"/>
      <c r="L119" s="21"/>
      <c r="M119" s="20"/>
      <c r="N119" s="21"/>
      <c r="O119" s="20"/>
      <c r="P119" s="21"/>
      <c r="Q119" s="20"/>
      <c r="R119" s="21"/>
      <c r="S119" s="20"/>
      <c r="T119" s="21"/>
      <c r="U119" s="20"/>
      <c r="V119" s="21"/>
      <c r="W119" s="20"/>
      <c r="X119" s="21"/>
      <c r="Y119" s="20"/>
      <c r="Z119" s="21"/>
      <c r="AA119" s="20"/>
      <c r="AB119" s="21"/>
    </row>
    <row r="120" spans="2:28">
      <c r="B120" s="17"/>
      <c r="C120" s="18"/>
      <c r="D120" s="19"/>
      <c r="E120" s="20"/>
      <c r="F120" s="21"/>
      <c r="G120" s="20"/>
      <c r="H120" s="21"/>
      <c r="I120" s="20"/>
      <c r="J120" s="21"/>
      <c r="K120" s="20"/>
      <c r="L120" s="21"/>
      <c r="M120" s="20"/>
      <c r="N120" s="21"/>
      <c r="O120" s="20"/>
      <c r="P120" s="21"/>
      <c r="Q120" s="20"/>
      <c r="R120" s="21"/>
      <c r="S120" s="20"/>
      <c r="T120" s="21"/>
      <c r="U120" s="20"/>
      <c r="V120" s="21"/>
      <c r="W120" s="20"/>
      <c r="X120" s="21"/>
      <c r="Y120" s="20"/>
      <c r="Z120" s="21"/>
      <c r="AA120" s="20"/>
      <c r="AB120" s="21"/>
    </row>
    <row r="121" spans="2:28">
      <c r="B121" s="17"/>
      <c r="C121" s="18"/>
      <c r="D121" s="19"/>
      <c r="E121" s="20"/>
      <c r="F121" s="21"/>
      <c r="G121" s="20"/>
      <c r="H121" s="21"/>
      <c r="I121" s="20"/>
      <c r="J121" s="21"/>
      <c r="K121" s="20"/>
      <c r="L121" s="21"/>
      <c r="M121" s="20"/>
      <c r="N121" s="21"/>
      <c r="O121" s="20"/>
      <c r="P121" s="21"/>
      <c r="Q121" s="20"/>
      <c r="R121" s="21"/>
      <c r="S121" s="20"/>
      <c r="T121" s="21"/>
      <c r="U121" s="20"/>
      <c r="V121" s="21"/>
      <c r="W121" s="20"/>
      <c r="X121" s="21"/>
      <c r="Y121" s="20"/>
      <c r="Z121" s="21"/>
      <c r="AA121" s="20"/>
      <c r="AB121" s="21"/>
    </row>
    <row r="122" spans="2:28">
      <c r="B122" s="17"/>
      <c r="C122" s="18"/>
      <c r="D122" s="19"/>
      <c r="E122" s="20"/>
      <c r="F122" s="21"/>
      <c r="G122" s="20"/>
      <c r="H122" s="21"/>
      <c r="I122" s="20"/>
      <c r="J122" s="21"/>
      <c r="K122" s="20"/>
      <c r="L122" s="21"/>
      <c r="M122" s="20"/>
      <c r="N122" s="21"/>
      <c r="O122" s="20"/>
      <c r="P122" s="21"/>
      <c r="Q122" s="20"/>
      <c r="R122" s="21"/>
      <c r="S122" s="20"/>
      <c r="T122" s="21"/>
      <c r="U122" s="20"/>
      <c r="V122" s="21"/>
      <c r="W122" s="20"/>
      <c r="X122" s="21"/>
      <c r="Y122" s="20"/>
      <c r="Z122" s="21"/>
      <c r="AA122" s="20"/>
      <c r="AB122" s="21"/>
    </row>
    <row r="123" spans="2:28">
      <c r="B123" s="17"/>
      <c r="C123" s="18"/>
      <c r="D123" s="79"/>
      <c r="E123" s="20"/>
      <c r="F123" s="21"/>
      <c r="G123" s="20"/>
      <c r="H123" s="21"/>
      <c r="I123" s="20"/>
      <c r="J123" s="21"/>
      <c r="K123" s="20"/>
      <c r="L123" s="21"/>
      <c r="M123" s="20"/>
      <c r="N123" s="21"/>
      <c r="O123" s="20"/>
      <c r="P123" s="21"/>
      <c r="Q123" s="20"/>
      <c r="R123" s="21"/>
      <c r="S123" s="20"/>
      <c r="T123" s="21"/>
      <c r="U123" s="20"/>
      <c r="V123" s="21"/>
      <c r="W123" s="20"/>
      <c r="X123" s="21"/>
      <c r="Y123" s="20"/>
      <c r="Z123" s="21"/>
      <c r="AA123" s="20"/>
      <c r="AB123" s="21"/>
    </row>
    <row r="124" spans="2:28">
      <c r="B124" s="17"/>
      <c r="C124" s="18"/>
      <c r="D124" s="79"/>
      <c r="E124" s="20"/>
      <c r="F124" s="21"/>
      <c r="G124" s="20"/>
      <c r="H124" s="21"/>
      <c r="I124" s="20"/>
      <c r="J124" s="21"/>
      <c r="K124" s="20"/>
      <c r="L124" s="21"/>
      <c r="M124" s="20"/>
      <c r="N124" s="21"/>
      <c r="O124" s="20"/>
      <c r="P124" s="21"/>
      <c r="Q124" s="20"/>
      <c r="R124" s="21"/>
      <c r="S124" s="20"/>
      <c r="T124" s="21"/>
      <c r="U124" s="20"/>
      <c r="V124" s="21"/>
      <c r="W124" s="20"/>
      <c r="X124" s="21"/>
      <c r="Y124" s="20"/>
      <c r="Z124" s="21"/>
      <c r="AA124" s="20"/>
      <c r="AB124" s="21"/>
    </row>
    <row r="125" spans="2:28">
      <c r="B125" s="17"/>
      <c r="C125" s="18"/>
      <c r="D125" s="79"/>
      <c r="E125" s="20"/>
      <c r="F125" s="21"/>
      <c r="G125" s="20"/>
      <c r="H125" s="21"/>
      <c r="I125" s="20"/>
      <c r="J125" s="21"/>
      <c r="K125" s="20"/>
      <c r="L125" s="21"/>
      <c r="M125" s="20"/>
      <c r="N125" s="21"/>
      <c r="O125" s="20"/>
      <c r="P125" s="21"/>
      <c r="Q125" s="3"/>
      <c r="R125" s="3"/>
      <c r="S125" s="3"/>
      <c r="T125" s="3"/>
      <c r="U125" s="3"/>
      <c r="V125" s="3"/>
      <c r="W125" s="3"/>
      <c r="X125" s="3"/>
      <c r="Y125" s="20"/>
      <c r="Z125" s="21"/>
      <c r="AA125" s="20"/>
      <c r="AB125" s="21"/>
    </row>
    <row r="126" spans="2:28">
      <c r="B126" s="17"/>
      <c r="C126" s="18"/>
      <c r="D126" s="79"/>
      <c r="E126" s="20"/>
      <c r="F126" s="21"/>
      <c r="G126" s="20"/>
      <c r="H126" s="21"/>
      <c r="I126" s="20"/>
      <c r="J126" s="21"/>
      <c r="K126" s="20"/>
      <c r="L126" s="21"/>
      <c r="M126" s="20"/>
      <c r="N126" s="21"/>
      <c r="O126" s="20"/>
      <c r="P126" s="21"/>
      <c r="Q126" s="3"/>
      <c r="R126" s="3"/>
      <c r="S126" s="3"/>
      <c r="T126" s="3"/>
      <c r="U126" s="3"/>
      <c r="V126" s="3"/>
      <c r="W126" s="3"/>
      <c r="X126" s="3"/>
      <c r="Y126" s="20"/>
      <c r="Z126" s="21"/>
      <c r="AA126" s="20"/>
      <c r="AB126" s="21"/>
    </row>
    <row r="127" spans="2:28">
      <c r="B127" s="17"/>
      <c r="C127" s="18"/>
      <c r="D127" s="19"/>
      <c r="E127" s="20"/>
      <c r="F127" s="21"/>
      <c r="G127" s="20"/>
      <c r="H127" s="21"/>
      <c r="I127" s="20"/>
      <c r="J127" s="21"/>
      <c r="K127" s="20"/>
      <c r="L127" s="21"/>
      <c r="M127" s="20"/>
      <c r="N127" s="21"/>
      <c r="O127" s="20"/>
      <c r="P127" s="21"/>
      <c r="Q127" s="3"/>
      <c r="R127" s="3"/>
      <c r="S127" s="3"/>
      <c r="T127" s="3"/>
      <c r="U127" s="3"/>
      <c r="V127" s="3"/>
      <c r="W127" s="20"/>
      <c r="X127" s="21"/>
      <c r="Y127" s="20"/>
      <c r="Z127" s="21"/>
      <c r="AA127" s="20"/>
      <c r="AB127" s="21"/>
    </row>
    <row r="128" spans="2:28">
      <c r="B128" s="17"/>
      <c r="C128" s="18"/>
      <c r="D128" s="19"/>
      <c r="E128" s="20"/>
      <c r="F128" s="21"/>
      <c r="G128" s="20"/>
      <c r="H128" s="21"/>
      <c r="I128" s="20"/>
      <c r="J128" s="21"/>
      <c r="K128" s="20"/>
      <c r="L128" s="21"/>
      <c r="M128" s="20"/>
      <c r="N128" s="21"/>
      <c r="O128" s="20"/>
      <c r="P128" s="21"/>
      <c r="Q128" s="3"/>
      <c r="R128" s="3"/>
      <c r="S128" s="3"/>
      <c r="T128" s="3"/>
      <c r="U128" s="3"/>
      <c r="V128" s="3"/>
      <c r="W128" s="20"/>
      <c r="X128" s="21"/>
      <c r="Y128" s="20"/>
      <c r="Z128" s="21"/>
      <c r="AA128" s="20"/>
      <c r="AB128" s="21"/>
    </row>
    <row r="129" spans="2:28">
      <c r="B129" s="17"/>
      <c r="C129" s="18"/>
      <c r="D129" s="19"/>
      <c r="E129" s="20"/>
      <c r="F129" s="21"/>
      <c r="G129" s="20"/>
      <c r="H129" s="21"/>
      <c r="I129" s="20"/>
      <c r="J129" s="21"/>
      <c r="K129" s="20"/>
      <c r="L129" s="21"/>
      <c r="M129" s="20"/>
      <c r="N129" s="21"/>
      <c r="O129" s="20"/>
      <c r="P129" s="21"/>
      <c r="Q129" s="3"/>
      <c r="R129" s="3"/>
      <c r="S129" s="3"/>
      <c r="T129" s="3"/>
      <c r="U129" s="3"/>
      <c r="V129" s="3"/>
      <c r="W129" s="20"/>
      <c r="X129" s="21"/>
      <c r="Y129" s="20"/>
      <c r="Z129" s="21"/>
      <c r="AA129" s="20"/>
      <c r="AB129" s="21"/>
    </row>
    <row r="130" spans="2:28">
      <c r="B130" s="17"/>
      <c r="C130" s="18"/>
      <c r="D130" s="19"/>
      <c r="E130" s="20"/>
      <c r="F130" s="21"/>
      <c r="G130" s="20"/>
      <c r="H130" s="21"/>
      <c r="I130" s="20"/>
      <c r="J130" s="21"/>
      <c r="K130" s="20"/>
      <c r="L130" s="21"/>
      <c r="M130" s="20"/>
      <c r="N130" s="21"/>
      <c r="O130" s="20"/>
      <c r="P130" s="21"/>
      <c r="Q130" s="3"/>
      <c r="R130" s="3"/>
      <c r="S130" s="3"/>
      <c r="T130" s="3"/>
      <c r="U130" s="3"/>
      <c r="V130" s="3"/>
      <c r="W130" s="20"/>
      <c r="X130" s="21"/>
      <c r="Y130" s="20"/>
      <c r="Z130" s="21"/>
      <c r="AA130" s="20"/>
      <c r="AB130" s="21"/>
    </row>
    <row r="131" spans="2:28">
      <c r="B131" s="17"/>
      <c r="C131" s="18"/>
      <c r="D131" s="19"/>
      <c r="E131" s="20"/>
      <c r="F131" s="21"/>
      <c r="G131" s="20"/>
      <c r="H131" s="21"/>
      <c r="I131" s="20"/>
      <c r="J131" s="21"/>
      <c r="K131" s="20"/>
      <c r="L131" s="21"/>
      <c r="M131" s="20"/>
      <c r="N131" s="21"/>
      <c r="O131" s="20"/>
      <c r="P131" s="21"/>
      <c r="Q131" s="20"/>
      <c r="R131" s="21"/>
      <c r="S131" s="20"/>
      <c r="T131" s="21"/>
      <c r="U131" s="20"/>
      <c r="V131" s="21"/>
      <c r="W131" s="20"/>
      <c r="X131" s="21"/>
      <c r="Y131" s="20"/>
      <c r="Z131" s="21"/>
      <c r="AA131" s="20"/>
      <c r="AB131" s="21"/>
    </row>
    <row r="132" spans="2:28">
      <c r="B132" s="17"/>
      <c r="C132" s="18"/>
      <c r="D132" s="19"/>
      <c r="E132" s="20"/>
      <c r="F132" s="21"/>
      <c r="G132" s="20"/>
      <c r="H132" s="21"/>
      <c r="I132" s="20"/>
      <c r="J132" s="21"/>
      <c r="K132" s="20"/>
      <c r="L132" s="21"/>
      <c r="M132" s="20"/>
      <c r="N132" s="21"/>
      <c r="O132" s="20"/>
      <c r="P132" s="21"/>
      <c r="Q132" s="20"/>
      <c r="R132" s="21"/>
      <c r="S132" s="20"/>
      <c r="T132" s="21"/>
      <c r="U132" s="20"/>
      <c r="V132" s="21"/>
      <c r="W132" s="20"/>
      <c r="X132" s="21"/>
      <c r="Y132" s="20"/>
      <c r="Z132" s="21"/>
      <c r="AA132" s="20"/>
      <c r="AB132" s="21"/>
    </row>
    <row r="133" spans="2:28">
      <c r="B133" s="17"/>
      <c r="C133" s="18"/>
      <c r="D133" s="19"/>
      <c r="E133" s="20"/>
      <c r="F133" s="21"/>
      <c r="G133" s="20"/>
      <c r="H133" s="21"/>
      <c r="I133" s="20"/>
      <c r="J133" s="21"/>
      <c r="K133" s="20"/>
      <c r="L133" s="21"/>
      <c r="M133" s="20"/>
      <c r="N133" s="21"/>
      <c r="O133" s="20"/>
      <c r="P133" s="21"/>
      <c r="Q133" s="20"/>
      <c r="R133" s="21"/>
      <c r="S133" s="20"/>
      <c r="T133" s="21"/>
      <c r="U133" s="20"/>
      <c r="V133" s="21"/>
      <c r="W133" s="20"/>
      <c r="X133" s="21"/>
      <c r="Y133" s="20"/>
      <c r="Z133" s="21"/>
      <c r="AA133" s="20"/>
      <c r="AB133" s="21"/>
    </row>
    <row r="134" spans="2:28">
      <c r="B134" s="17"/>
      <c r="C134" s="18"/>
      <c r="D134" s="19"/>
      <c r="E134" s="20"/>
      <c r="F134" s="21"/>
      <c r="G134" s="20"/>
      <c r="H134" s="21"/>
      <c r="I134" s="20"/>
      <c r="J134" s="21"/>
      <c r="K134" s="20"/>
      <c r="L134" s="21"/>
      <c r="M134" s="20"/>
      <c r="N134" s="21"/>
      <c r="O134" s="20"/>
      <c r="P134" s="21"/>
      <c r="Q134" s="20"/>
      <c r="R134" s="21"/>
      <c r="S134" s="20"/>
      <c r="T134" s="21"/>
      <c r="U134" s="20"/>
      <c r="V134" s="21"/>
      <c r="W134" s="20"/>
      <c r="X134" s="21"/>
      <c r="Y134" s="20"/>
      <c r="Z134" s="21"/>
      <c r="AA134" s="20"/>
      <c r="AB134" s="21"/>
    </row>
    <row r="135" spans="2:28">
      <c r="B135" s="17"/>
      <c r="C135" s="18"/>
      <c r="D135" s="19"/>
      <c r="E135" s="20"/>
      <c r="F135" s="21"/>
      <c r="G135" s="20"/>
      <c r="H135" s="21"/>
      <c r="I135" s="20"/>
      <c r="J135" s="21"/>
      <c r="K135" s="20"/>
      <c r="L135" s="21"/>
      <c r="M135" s="20"/>
      <c r="N135" s="21"/>
      <c r="O135" s="20"/>
      <c r="P135" s="21"/>
      <c r="Q135" s="20"/>
      <c r="R135" s="21"/>
      <c r="S135" s="20"/>
      <c r="T135" s="21"/>
      <c r="U135" s="20"/>
      <c r="V135" s="21"/>
      <c r="W135" s="20"/>
      <c r="X135" s="21"/>
      <c r="Y135" s="20"/>
      <c r="Z135" s="21"/>
      <c r="AA135" s="20"/>
      <c r="AB135" s="21"/>
    </row>
    <row r="136" spans="2:28">
      <c r="B136" s="17"/>
      <c r="C136" s="18"/>
      <c r="D136" s="19"/>
      <c r="E136" s="20"/>
      <c r="F136" s="21"/>
      <c r="G136" s="20"/>
      <c r="H136" s="21"/>
      <c r="I136" s="20"/>
      <c r="J136" s="21"/>
      <c r="K136" s="20"/>
      <c r="L136" s="21"/>
      <c r="M136" s="20"/>
      <c r="N136" s="21"/>
      <c r="O136" s="20"/>
      <c r="P136" s="21"/>
      <c r="Q136" s="20"/>
      <c r="R136" s="21"/>
      <c r="S136" s="20"/>
      <c r="T136" s="21"/>
      <c r="U136" s="20"/>
      <c r="V136" s="21"/>
      <c r="W136" s="20"/>
      <c r="X136" s="21"/>
      <c r="Y136" s="20"/>
      <c r="Z136" s="21"/>
      <c r="AA136" s="20"/>
      <c r="AB136" s="21"/>
    </row>
    <row r="137" spans="2:28">
      <c r="B137" s="17"/>
      <c r="C137" s="18"/>
      <c r="D137" s="19"/>
      <c r="E137" s="20"/>
      <c r="F137" s="21"/>
      <c r="G137" s="20"/>
      <c r="H137" s="21"/>
      <c r="I137" s="20"/>
      <c r="J137" s="21"/>
      <c r="K137" s="20"/>
      <c r="L137" s="21"/>
      <c r="M137" s="20"/>
      <c r="N137" s="21"/>
      <c r="O137" s="20"/>
      <c r="P137" s="21"/>
      <c r="Q137" s="20"/>
      <c r="R137" s="21"/>
      <c r="S137" s="20"/>
      <c r="T137" s="21"/>
      <c r="U137" s="20"/>
      <c r="V137" s="21"/>
      <c r="W137" s="20"/>
      <c r="X137" s="21"/>
      <c r="Y137" s="20"/>
      <c r="Z137" s="21"/>
      <c r="AA137" s="20"/>
      <c r="AB137" s="21"/>
    </row>
    <row r="138" spans="2:28">
      <c r="B138" s="17"/>
      <c r="C138" s="18"/>
      <c r="D138" s="19"/>
      <c r="E138" s="20"/>
      <c r="F138" s="21"/>
      <c r="G138" s="20"/>
      <c r="H138" s="21"/>
      <c r="I138" s="20"/>
      <c r="J138" s="21"/>
      <c r="K138" s="20"/>
      <c r="L138" s="21"/>
      <c r="M138" s="20"/>
      <c r="N138" s="21"/>
      <c r="O138" s="20"/>
      <c r="P138" s="21"/>
      <c r="Q138" s="20"/>
      <c r="R138" s="21"/>
      <c r="S138" s="20"/>
      <c r="T138" s="21"/>
      <c r="U138" s="20"/>
      <c r="V138" s="21"/>
      <c r="W138" s="20"/>
      <c r="X138" s="21"/>
      <c r="Y138" s="20"/>
      <c r="Z138" s="21"/>
      <c r="AA138" s="20"/>
      <c r="AB138" s="21"/>
    </row>
    <row r="139" spans="2:28">
      <c r="B139" s="17"/>
      <c r="C139" s="18"/>
      <c r="D139" s="19"/>
      <c r="E139" s="20"/>
      <c r="F139" s="21"/>
      <c r="G139" s="20"/>
      <c r="H139" s="21"/>
      <c r="I139" s="20"/>
      <c r="J139" s="21"/>
      <c r="K139" s="20"/>
      <c r="L139" s="21"/>
      <c r="M139" s="20"/>
      <c r="N139" s="21"/>
      <c r="O139" s="20"/>
      <c r="P139" s="21"/>
      <c r="Q139" s="20"/>
      <c r="R139" s="21"/>
      <c r="S139" s="20"/>
      <c r="T139" s="21"/>
      <c r="U139" s="20"/>
      <c r="V139" s="21"/>
      <c r="W139" s="20"/>
      <c r="X139" s="21"/>
      <c r="Y139" s="20"/>
      <c r="Z139" s="21"/>
      <c r="AA139" s="20"/>
      <c r="AB139" s="21"/>
    </row>
    <row r="140" spans="2:28">
      <c r="B140" s="17"/>
      <c r="C140" s="18"/>
      <c r="D140" s="19"/>
      <c r="E140" s="20"/>
      <c r="F140" s="21"/>
      <c r="G140" s="20"/>
      <c r="H140" s="21"/>
      <c r="I140" s="20"/>
      <c r="J140" s="21"/>
      <c r="K140" s="20"/>
      <c r="L140" s="21"/>
      <c r="M140" s="20"/>
      <c r="N140" s="21"/>
      <c r="O140" s="20"/>
      <c r="P140" s="21"/>
      <c r="Q140" s="20"/>
      <c r="R140" s="21"/>
      <c r="S140" s="20"/>
      <c r="T140" s="21"/>
      <c r="U140" s="20"/>
      <c r="V140" s="21"/>
      <c r="W140" s="20"/>
      <c r="X140" s="21"/>
      <c r="Y140" s="20"/>
      <c r="Z140" s="21"/>
      <c r="AA140" s="20"/>
      <c r="AB140" s="21"/>
    </row>
    <row r="141" spans="2:28">
      <c r="B141" s="17"/>
      <c r="C141" s="18"/>
      <c r="D141" s="19"/>
      <c r="E141" s="20"/>
      <c r="F141" s="21"/>
      <c r="G141" s="20"/>
      <c r="H141" s="21"/>
      <c r="I141" s="20"/>
      <c r="J141" s="21"/>
      <c r="K141" s="20"/>
      <c r="L141" s="21"/>
      <c r="M141" s="20"/>
      <c r="N141" s="21"/>
      <c r="O141" s="20"/>
      <c r="P141" s="21"/>
      <c r="Q141" s="20"/>
      <c r="R141" s="21"/>
      <c r="S141" s="20"/>
      <c r="T141" s="21"/>
      <c r="U141" s="20"/>
      <c r="V141" s="21"/>
      <c r="W141" s="20"/>
      <c r="X141" s="21"/>
      <c r="Y141" s="20"/>
      <c r="Z141" s="21"/>
      <c r="AA141" s="20"/>
      <c r="AB141" s="21"/>
    </row>
    <row r="142" spans="2:28">
      <c r="B142" s="17"/>
      <c r="C142" s="18"/>
      <c r="D142" s="19"/>
      <c r="E142" s="20"/>
      <c r="F142" s="21"/>
      <c r="G142" s="20"/>
      <c r="H142" s="21"/>
      <c r="I142" s="20"/>
      <c r="J142" s="21"/>
      <c r="K142" s="20"/>
      <c r="L142" s="21"/>
      <c r="M142" s="20"/>
      <c r="N142" s="21"/>
      <c r="O142" s="20"/>
      <c r="P142" s="21"/>
      <c r="Q142" s="20"/>
      <c r="R142" s="21"/>
      <c r="S142" s="20"/>
      <c r="T142" s="21"/>
      <c r="U142" s="20"/>
      <c r="V142" s="21"/>
      <c r="W142" s="20"/>
      <c r="X142" s="21"/>
      <c r="Y142" s="20"/>
      <c r="Z142" s="21"/>
      <c r="AA142" s="20"/>
      <c r="AB142" s="21"/>
    </row>
    <row r="143" spans="2:28">
      <c r="B143" s="17"/>
      <c r="C143" s="18"/>
      <c r="D143" s="19"/>
      <c r="E143" s="20"/>
      <c r="F143" s="21"/>
      <c r="G143" s="20"/>
      <c r="H143" s="21"/>
      <c r="I143" s="20"/>
      <c r="J143" s="21"/>
      <c r="K143" s="20"/>
      <c r="L143" s="21"/>
      <c r="M143" s="20"/>
      <c r="N143" s="21"/>
      <c r="O143" s="20"/>
      <c r="P143" s="21"/>
      <c r="Q143" s="20"/>
      <c r="R143" s="21"/>
      <c r="S143" s="20"/>
      <c r="T143" s="21"/>
      <c r="U143" s="20"/>
      <c r="V143" s="21"/>
      <c r="W143" s="20"/>
      <c r="X143" s="21"/>
      <c r="Y143" s="20"/>
      <c r="Z143" s="21"/>
      <c r="AA143" s="20"/>
      <c r="AB143" s="21"/>
    </row>
    <row r="144" spans="2:28">
      <c r="B144" s="17"/>
      <c r="C144" s="18"/>
      <c r="D144" s="19"/>
      <c r="E144" s="20"/>
      <c r="F144" s="21"/>
      <c r="G144" s="20"/>
      <c r="H144" s="21"/>
      <c r="I144" s="20"/>
      <c r="J144" s="21"/>
      <c r="K144" s="20"/>
      <c r="L144" s="21"/>
      <c r="M144" s="20"/>
      <c r="N144" s="21"/>
      <c r="O144" s="20"/>
      <c r="P144" s="21"/>
      <c r="Q144" s="20"/>
      <c r="R144" s="21"/>
      <c r="S144" s="20"/>
      <c r="T144" s="21"/>
      <c r="U144" s="20"/>
      <c r="V144" s="21"/>
      <c r="W144" s="20"/>
      <c r="X144" s="21"/>
      <c r="Y144" s="20"/>
      <c r="Z144" s="21"/>
      <c r="AA144" s="20"/>
      <c r="AB144" s="21"/>
    </row>
    <row r="145" spans="2:28">
      <c r="B145" s="17"/>
      <c r="C145" s="18"/>
      <c r="D145" s="19"/>
      <c r="E145" s="20"/>
      <c r="F145" s="21"/>
      <c r="G145" s="20"/>
      <c r="H145" s="21"/>
      <c r="I145" s="20"/>
      <c r="J145" s="21"/>
      <c r="K145" s="20"/>
      <c r="L145" s="21"/>
      <c r="M145" s="20"/>
      <c r="N145" s="21"/>
      <c r="O145" s="20"/>
      <c r="P145" s="21"/>
      <c r="Q145" s="20"/>
      <c r="R145" s="21"/>
      <c r="S145" s="20"/>
      <c r="T145" s="21"/>
      <c r="U145" s="20"/>
      <c r="V145" s="21"/>
      <c r="W145" s="20"/>
      <c r="X145" s="21"/>
      <c r="Y145" s="20"/>
      <c r="Z145" s="21"/>
      <c r="AA145" s="20"/>
      <c r="AB145" s="21"/>
    </row>
    <row r="146" spans="2:28">
      <c r="B146" s="17"/>
      <c r="C146" s="18"/>
      <c r="D146" s="19"/>
      <c r="E146" s="20"/>
      <c r="F146" s="21"/>
      <c r="G146" s="20"/>
      <c r="H146" s="21"/>
      <c r="I146" s="20"/>
      <c r="J146" s="21"/>
      <c r="K146" s="20"/>
      <c r="L146" s="21"/>
      <c r="M146" s="20"/>
      <c r="N146" s="21"/>
      <c r="O146" s="20"/>
      <c r="P146" s="21"/>
      <c r="Q146" s="20"/>
      <c r="R146" s="21"/>
      <c r="S146" s="20"/>
      <c r="T146" s="21"/>
      <c r="U146" s="20"/>
      <c r="V146" s="21"/>
      <c r="W146" s="20"/>
      <c r="X146" s="21"/>
      <c r="Y146" s="20"/>
      <c r="Z146" s="21"/>
      <c r="AA146" s="20"/>
      <c r="AB146" s="21"/>
    </row>
    <row r="147" spans="2:28">
      <c r="B147" s="17"/>
      <c r="C147" s="18"/>
      <c r="D147" s="19"/>
      <c r="E147" s="20"/>
      <c r="F147" s="21"/>
      <c r="G147" s="20"/>
      <c r="H147" s="21"/>
      <c r="I147" s="20"/>
      <c r="J147" s="21"/>
      <c r="K147" s="20"/>
      <c r="L147" s="21"/>
      <c r="M147" s="20"/>
      <c r="N147" s="21"/>
      <c r="O147" s="20"/>
      <c r="P147" s="21"/>
      <c r="Q147" s="20"/>
      <c r="R147" s="21"/>
      <c r="S147" s="20"/>
      <c r="T147" s="21"/>
      <c r="U147" s="20"/>
      <c r="V147" s="21"/>
      <c r="W147" s="20"/>
      <c r="X147" s="21"/>
      <c r="Y147" s="20"/>
      <c r="Z147" s="21"/>
      <c r="AA147" s="20"/>
      <c r="AB147" s="21"/>
    </row>
    <row r="148" spans="2:28">
      <c r="B148" s="17"/>
      <c r="C148" s="18"/>
      <c r="D148" s="19"/>
      <c r="E148" s="20"/>
      <c r="F148" s="21"/>
      <c r="G148" s="20"/>
      <c r="H148" s="21"/>
      <c r="I148" s="20"/>
      <c r="J148" s="21"/>
      <c r="K148" s="20"/>
      <c r="L148" s="21"/>
      <c r="M148" s="20"/>
      <c r="N148" s="21"/>
      <c r="O148" s="20"/>
      <c r="P148" s="21"/>
      <c r="Q148" s="20"/>
      <c r="R148" s="21"/>
      <c r="S148" s="20"/>
      <c r="T148" s="21"/>
      <c r="U148" s="20"/>
      <c r="V148" s="21"/>
      <c r="W148" s="20"/>
      <c r="X148" s="21"/>
      <c r="Y148" s="20"/>
      <c r="Z148" s="21"/>
      <c r="AA148" s="20"/>
      <c r="AB148" s="21"/>
    </row>
    <row r="149" spans="2:28">
      <c r="B149" s="17"/>
      <c r="C149" s="18"/>
      <c r="D149" s="19"/>
      <c r="E149" s="20"/>
      <c r="F149" s="21"/>
      <c r="G149" s="20"/>
      <c r="H149" s="21"/>
      <c r="I149" s="20"/>
      <c r="J149" s="21"/>
      <c r="K149" s="20"/>
      <c r="L149" s="21"/>
      <c r="M149" s="20"/>
      <c r="N149" s="21"/>
      <c r="O149" s="20"/>
      <c r="P149" s="21"/>
      <c r="Q149" s="20"/>
      <c r="R149" s="21"/>
      <c r="S149" s="20"/>
      <c r="T149" s="21"/>
      <c r="U149" s="20"/>
      <c r="V149" s="21"/>
      <c r="W149" s="20"/>
      <c r="X149" s="21"/>
      <c r="Y149" s="20"/>
      <c r="Z149" s="21"/>
      <c r="AA149" s="20"/>
      <c r="AB149" s="21"/>
    </row>
    <row r="150" spans="2:28">
      <c r="B150" s="17"/>
      <c r="C150" s="18"/>
      <c r="D150" s="19"/>
      <c r="E150" s="20"/>
      <c r="F150" s="21"/>
      <c r="G150" s="20"/>
      <c r="H150" s="21"/>
      <c r="I150" s="20"/>
      <c r="J150" s="21"/>
      <c r="K150" s="20"/>
      <c r="L150" s="21"/>
      <c r="M150" s="20"/>
      <c r="N150" s="21"/>
      <c r="O150" s="20"/>
      <c r="P150" s="21"/>
      <c r="Q150" s="20"/>
      <c r="R150" s="21"/>
      <c r="S150" s="20"/>
      <c r="T150" s="21"/>
      <c r="U150" s="20"/>
      <c r="V150" s="21"/>
      <c r="W150" s="20"/>
      <c r="X150" s="21"/>
      <c r="Y150" s="20"/>
      <c r="Z150" s="21"/>
      <c r="AA150" s="20"/>
      <c r="AB150" s="21"/>
    </row>
    <row r="151" spans="2:28">
      <c r="B151" s="17"/>
      <c r="C151" s="18"/>
      <c r="D151" s="19"/>
      <c r="E151" s="20"/>
      <c r="F151" s="21"/>
      <c r="G151" s="20"/>
      <c r="H151" s="21"/>
      <c r="I151" s="20"/>
      <c r="J151" s="21"/>
      <c r="K151" s="20"/>
      <c r="L151" s="21"/>
      <c r="M151" s="20"/>
      <c r="N151" s="21"/>
      <c r="O151" s="20"/>
      <c r="P151" s="21"/>
      <c r="Q151" s="20"/>
      <c r="R151" s="21"/>
      <c r="S151" s="20"/>
      <c r="T151" s="21"/>
      <c r="U151" s="20"/>
      <c r="V151" s="21"/>
      <c r="W151" s="20"/>
      <c r="X151" s="21"/>
      <c r="Y151" s="20"/>
      <c r="Z151" s="21"/>
      <c r="AA151" s="20"/>
      <c r="AB151" s="21"/>
    </row>
    <row r="152" spans="2:28">
      <c r="B152" s="17"/>
      <c r="C152" s="18"/>
      <c r="D152" s="19"/>
      <c r="E152" s="20"/>
      <c r="F152" s="21"/>
      <c r="G152" s="20"/>
      <c r="H152" s="21"/>
      <c r="I152" s="20"/>
      <c r="J152" s="21"/>
      <c r="K152" s="20"/>
      <c r="L152" s="21"/>
      <c r="M152" s="20"/>
      <c r="N152" s="21"/>
      <c r="O152" s="20"/>
      <c r="P152" s="21"/>
      <c r="Q152" s="20"/>
      <c r="R152" s="21"/>
      <c r="S152" s="20"/>
      <c r="T152" s="21"/>
      <c r="U152" s="20"/>
      <c r="V152" s="21"/>
      <c r="W152" s="20"/>
      <c r="X152" s="21"/>
      <c r="Y152" s="20"/>
      <c r="Z152" s="21"/>
      <c r="AA152" s="20"/>
      <c r="AB152" s="21"/>
    </row>
    <row r="153" spans="2:28">
      <c r="B153" s="17"/>
      <c r="C153" s="18"/>
      <c r="D153" s="19"/>
      <c r="E153" s="20"/>
      <c r="F153" s="21"/>
      <c r="G153" s="20"/>
      <c r="H153" s="21"/>
      <c r="I153" s="20"/>
      <c r="J153" s="21"/>
      <c r="K153" s="20"/>
      <c r="L153" s="21"/>
      <c r="M153" s="20"/>
      <c r="N153" s="21"/>
      <c r="O153" s="20"/>
      <c r="P153" s="21"/>
      <c r="Q153" s="20"/>
      <c r="R153" s="21"/>
      <c r="S153" s="20"/>
      <c r="T153" s="21"/>
      <c r="U153" s="20"/>
      <c r="V153" s="21"/>
      <c r="W153" s="20"/>
      <c r="X153" s="21"/>
      <c r="Y153" s="20"/>
      <c r="Z153" s="21"/>
      <c r="AA153" s="20"/>
      <c r="AB153" s="21"/>
    </row>
    <row r="154" spans="2:28">
      <c r="B154" s="17"/>
      <c r="C154" s="18"/>
      <c r="D154" s="19"/>
      <c r="E154" s="20"/>
      <c r="F154" s="21"/>
      <c r="G154" s="20"/>
      <c r="H154" s="21"/>
      <c r="I154" s="20"/>
      <c r="J154" s="21"/>
      <c r="K154" s="20"/>
      <c r="L154" s="21"/>
      <c r="M154" s="20"/>
      <c r="N154" s="21"/>
      <c r="O154" s="20"/>
      <c r="P154" s="21"/>
      <c r="Q154" s="20"/>
      <c r="R154" s="21"/>
      <c r="S154" s="20"/>
      <c r="T154" s="21"/>
      <c r="U154" s="20"/>
      <c r="V154" s="21"/>
      <c r="W154" s="20"/>
      <c r="X154" s="21"/>
      <c r="Y154" s="20"/>
      <c r="Z154" s="21"/>
      <c r="AA154" s="20"/>
      <c r="AB154" s="21"/>
    </row>
    <row r="155" spans="2:28">
      <c r="B155" s="17"/>
      <c r="C155" s="18"/>
      <c r="D155" s="19"/>
      <c r="E155" s="20"/>
      <c r="F155" s="21"/>
      <c r="G155" s="20"/>
      <c r="H155" s="21"/>
      <c r="I155" s="20"/>
      <c r="J155" s="21"/>
      <c r="K155" s="20"/>
      <c r="L155" s="21"/>
      <c r="M155" s="20"/>
      <c r="N155" s="21"/>
      <c r="O155" s="20"/>
      <c r="P155" s="21"/>
      <c r="Q155" s="20"/>
      <c r="R155" s="21"/>
      <c r="S155" s="20"/>
      <c r="T155" s="21"/>
      <c r="U155" s="20"/>
      <c r="V155" s="21"/>
      <c r="W155" s="20"/>
      <c r="X155" s="21"/>
      <c r="Y155" s="20"/>
      <c r="Z155" s="21"/>
      <c r="AA155" s="20"/>
      <c r="AB155" s="21"/>
    </row>
    <row r="156" spans="2:28">
      <c r="B156" s="17"/>
      <c r="C156" s="18"/>
      <c r="D156" s="19"/>
      <c r="E156" s="20"/>
      <c r="F156" s="21"/>
      <c r="G156" s="20"/>
      <c r="H156" s="21"/>
      <c r="I156" s="20"/>
      <c r="J156" s="21"/>
      <c r="K156" s="20"/>
      <c r="L156" s="21"/>
      <c r="M156" s="20"/>
      <c r="N156" s="21"/>
      <c r="O156" s="20"/>
      <c r="P156" s="21"/>
      <c r="Q156" s="20"/>
      <c r="R156" s="21"/>
      <c r="S156" s="20"/>
      <c r="T156" s="21"/>
      <c r="U156" s="20"/>
      <c r="V156" s="21"/>
      <c r="W156" s="20"/>
      <c r="X156" s="21"/>
      <c r="Y156" s="20"/>
      <c r="Z156" s="21"/>
      <c r="AA156" s="20"/>
      <c r="AB156" s="21"/>
    </row>
    <row r="157" spans="2:28">
      <c r="B157" s="17"/>
      <c r="C157" s="18"/>
      <c r="D157" s="19"/>
      <c r="E157" s="20"/>
      <c r="F157" s="21"/>
      <c r="G157" s="20"/>
      <c r="H157" s="21"/>
      <c r="I157" s="20"/>
      <c r="J157" s="21"/>
      <c r="K157" s="20"/>
      <c r="L157" s="21"/>
      <c r="M157" s="20"/>
      <c r="N157" s="21"/>
      <c r="O157" s="20"/>
      <c r="P157" s="21"/>
      <c r="Q157" s="20"/>
      <c r="R157" s="21"/>
      <c r="S157" s="20"/>
      <c r="T157" s="21"/>
      <c r="U157" s="20"/>
      <c r="V157" s="21"/>
      <c r="W157" s="20"/>
      <c r="X157" s="21"/>
      <c r="Y157" s="20"/>
      <c r="Z157" s="21"/>
      <c r="AA157" s="20"/>
      <c r="AB157" s="21"/>
    </row>
    <row r="158" spans="2:28">
      <c r="B158" s="17"/>
      <c r="C158" s="18"/>
      <c r="D158" s="19"/>
      <c r="E158" s="20"/>
      <c r="F158" s="21"/>
      <c r="G158" s="20"/>
      <c r="H158" s="21"/>
      <c r="I158" s="20"/>
      <c r="J158" s="21"/>
      <c r="K158" s="20"/>
      <c r="L158" s="21"/>
      <c r="M158" s="20"/>
      <c r="N158" s="21"/>
      <c r="O158" s="20"/>
      <c r="P158" s="21"/>
      <c r="Q158" s="20"/>
      <c r="R158" s="21"/>
      <c r="S158" s="20"/>
      <c r="T158" s="21"/>
      <c r="U158" s="20"/>
      <c r="V158" s="21"/>
      <c r="W158" s="20"/>
      <c r="X158" s="21"/>
      <c r="Y158" s="20"/>
      <c r="Z158" s="21"/>
      <c r="AA158" s="20"/>
      <c r="AB158" s="21"/>
    </row>
    <row r="159" spans="2:28">
      <c r="B159" s="17"/>
      <c r="C159" s="18"/>
      <c r="D159" s="19"/>
      <c r="E159" s="20"/>
      <c r="F159" s="21"/>
      <c r="G159" s="20"/>
      <c r="H159" s="21"/>
      <c r="I159" s="20"/>
      <c r="J159" s="21"/>
      <c r="K159" s="20"/>
      <c r="L159" s="21"/>
      <c r="M159" s="20"/>
      <c r="N159" s="21"/>
      <c r="O159" s="20"/>
      <c r="P159" s="21"/>
      <c r="Q159" s="20"/>
      <c r="R159" s="21"/>
      <c r="S159" s="20"/>
      <c r="T159" s="21"/>
      <c r="U159" s="20"/>
      <c r="V159" s="21"/>
      <c r="W159" s="20"/>
      <c r="X159" s="21"/>
      <c r="Y159" s="20"/>
      <c r="Z159" s="21"/>
      <c r="AA159" s="20"/>
      <c r="AB159" s="21"/>
    </row>
    <row r="160" spans="2:28">
      <c r="B160" s="17"/>
      <c r="C160" s="18"/>
      <c r="D160" s="19"/>
      <c r="E160" s="20"/>
      <c r="F160" s="21"/>
      <c r="G160" s="20"/>
      <c r="H160" s="21"/>
      <c r="I160" s="20"/>
      <c r="J160" s="21"/>
      <c r="K160" s="20"/>
      <c r="L160" s="21"/>
      <c r="M160" s="20"/>
      <c r="N160" s="21"/>
      <c r="O160" s="20"/>
      <c r="P160" s="21"/>
      <c r="Q160" s="20"/>
      <c r="R160" s="21"/>
      <c r="S160" s="20"/>
      <c r="T160" s="21"/>
      <c r="U160" s="20"/>
      <c r="V160" s="21"/>
      <c r="W160" s="20"/>
      <c r="X160" s="21"/>
      <c r="Y160" s="20"/>
      <c r="Z160" s="21"/>
      <c r="AA160" s="20"/>
      <c r="AB160" s="21"/>
    </row>
    <row r="161" spans="2:28">
      <c r="B161" s="17"/>
      <c r="C161" s="18"/>
      <c r="D161" s="19"/>
      <c r="E161" s="20"/>
      <c r="F161" s="21"/>
      <c r="G161" s="20"/>
      <c r="H161" s="21"/>
      <c r="I161" s="20"/>
      <c r="J161" s="21"/>
      <c r="K161" s="20"/>
      <c r="L161" s="21"/>
      <c r="M161" s="20"/>
      <c r="N161" s="21"/>
      <c r="O161" s="20"/>
      <c r="P161" s="21"/>
      <c r="Q161" s="20"/>
      <c r="R161" s="21"/>
      <c r="S161" s="20"/>
      <c r="T161" s="21"/>
      <c r="U161" s="20"/>
      <c r="V161" s="21"/>
      <c r="W161" s="20"/>
      <c r="X161" s="21"/>
      <c r="Y161" s="20"/>
      <c r="Z161" s="21"/>
      <c r="AA161" s="20"/>
      <c r="AB161" s="21"/>
    </row>
    <row r="162" spans="2:28">
      <c r="B162" s="17"/>
      <c r="C162" s="18"/>
      <c r="D162" s="19"/>
      <c r="E162" s="20"/>
      <c r="F162" s="21"/>
      <c r="G162" s="20"/>
      <c r="H162" s="21"/>
      <c r="I162" s="20"/>
      <c r="J162" s="21"/>
      <c r="K162" s="20"/>
      <c r="L162" s="21"/>
      <c r="M162" s="20"/>
      <c r="N162" s="21"/>
      <c r="O162" s="20"/>
      <c r="P162" s="21"/>
      <c r="Q162" s="20"/>
      <c r="R162" s="21"/>
      <c r="S162" s="20"/>
      <c r="T162" s="21"/>
      <c r="U162" s="20"/>
      <c r="V162" s="21"/>
      <c r="W162" s="20"/>
      <c r="X162" s="21"/>
      <c r="Y162" s="20"/>
      <c r="Z162" s="21"/>
      <c r="AA162" s="20"/>
      <c r="AB162" s="21"/>
    </row>
    <row r="163" spans="2:28">
      <c r="B163" s="17"/>
      <c r="C163" s="18"/>
      <c r="D163" s="19"/>
      <c r="E163" s="20"/>
      <c r="F163" s="21"/>
      <c r="G163" s="20"/>
      <c r="H163" s="21"/>
      <c r="I163" s="20"/>
      <c r="J163" s="21"/>
      <c r="K163" s="20"/>
      <c r="L163" s="21"/>
      <c r="M163" s="20"/>
      <c r="N163" s="21"/>
      <c r="O163" s="20"/>
      <c r="P163" s="21"/>
      <c r="Q163" s="20"/>
      <c r="R163" s="21"/>
      <c r="S163" s="20"/>
      <c r="T163" s="21"/>
      <c r="U163" s="20"/>
      <c r="V163" s="21"/>
      <c r="W163" s="20"/>
      <c r="X163" s="21"/>
      <c r="Y163" s="20"/>
      <c r="Z163" s="21"/>
      <c r="AA163" s="20"/>
      <c r="AB163" s="21"/>
    </row>
    <row r="164" spans="2:28">
      <c r="B164" s="17"/>
      <c r="C164" s="18"/>
      <c r="D164" s="19"/>
      <c r="E164" s="20"/>
      <c r="F164" s="21"/>
      <c r="G164" s="20"/>
      <c r="H164" s="21"/>
      <c r="I164" s="20"/>
      <c r="J164" s="21"/>
      <c r="K164" s="20"/>
      <c r="L164" s="21"/>
      <c r="M164" s="20"/>
      <c r="N164" s="21"/>
      <c r="O164" s="20"/>
      <c r="P164" s="21"/>
      <c r="Q164" s="20"/>
      <c r="R164" s="21"/>
      <c r="S164" s="20"/>
      <c r="T164" s="21"/>
      <c r="U164" s="20"/>
      <c r="V164" s="21"/>
      <c r="W164" s="20"/>
      <c r="X164" s="21"/>
      <c r="Y164" s="20"/>
      <c r="Z164" s="21"/>
      <c r="AA164" s="20"/>
      <c r="AB164" s="21"/>
    </row>
    <row r="165" spans="2:28">
      <c r="B165" s="17"/>
      <c r="C165" s="18"/>
      <c r="D165" s="19"/>
      <c r="E165" s="20"/>
      <c r="F165" s="21"/>
      <c r="G165" s="20"/>
      <c r="H165" s="21"/>
      <c r="I165" s="20"/>
      <c r="J165" s="21"/>
      <c r="K165" s="20"/>
      <c r="L165" s="21"/>
      <c r="M165" s="20"/>
      <c r="N165" s="21"/>
      <c r="O165" s="20"/>
      <c r="P165" s="21"/>
      <c r="Q165" s="20"/>
      <c r="R165" s="21"/>
      <c r="S165" s="20"/>
      <c r="T165" s="21"/>
      <c r="U165" s="20"/>
      <c r="V165" s="21"/>
      <c r="W165" s="20"/>
      <c r="X165" s="21"/>
      <c r="Y165" s="20"/>
      <c r="Z165" s="21"/>
      <c r="AA165" s="20"/>
      <c r="AB165" s="21"/>
    </row>
    <row r="166" spans="2:28">
      <c r="B166" s="22"/>
      <c r="C166" s="23">
        <f>SUM(E166:AA166)</f>
        <v>31300000</v>
      </c>
      <c r="D166" s="24" t="s">
        <v>55</v>
      </c>
      <c r="E166" s="25"/>
      <c r="F166" s="26">
        <f>SUM(F6:F165)</f>
        <v>30490000</v>
      </c>
      <c r="G166" s="25"/>
      <c r="H166" s="26">
        <f>SUM(H6:H165)</f>
        <v>0</v>
      </c>
      <c r="I166" s="25"/>
      <c r="J166" s="26">
        <f>SUM(J6:J165)</f>
        <v>140000</v>
      </c>
      <c r="K166" s="25"/>
      <c r="L166" s="26">
        <f>SUM(L6:L165)</f>
        <v>670000</v>
      </c>
      <c r="M166" s="25"/>
      <c r="N166" s="26">
        <f>SUM(N6:N165)</f>
        <v>0</v>
      </c>
      <c r="O166" s="25"/>
      <c r="P166" s="26">
        <f>SUM(P6:P165)</f>
        <v>0</v>
      </c>
      <c r="Q166" s="25"/>
      <c r="R166" s="26">
        <f>SUM(R6:R165)</f>
        <v>0</v>
      </c>
      <c r="S166" s="25"/>
      <c r="T166" s="26">
        <f>SUM(T6:T165)</f>
        <v>0</v>
      </c>
      <c r="U166" s="25"/>
      <c r="V166" s="26">
        <f>SUM(V6:V165)</f>
        <v>0</v>
      </c>
      <c r="W166" s="25"/>
      <c r="X166" s="26">
        <f>SUM(X6:X165)</f>
        <v>0</v>
      </c>
      <c r="Y166" s="25"/>
      <c r="Z166" s="26">
        <f>SUM(Z6:Z165)</f>
        <v>0</v>
      </c>
      <c r="AA166" s="25"/>
      <c r="AB166" s="26">
        <f>SUM(AB6:AB18)</f>
        <v>0</v>
      </c>
    </row>
    <row r="167" spans="2:28">
      <c r="F167" s="27"/>
      <c r="H167" s="27"/>
      <c r="J167" s="27"/>
      <c r="L167" s="27"/>
      <c r="N167" s="27"/>
      <c r="P167" s="27"/>
      <c r="R167" s="27"/>
      <c r="T167" s="27"/>
      <c r="V167" s="27"/>
      <c r="X167" s="27"/>
      <c r="Z167" s="27"/>
      <c r="AB167" s="27"/>
    </row>
    <row r="168" spans="2:28">
      <c r="B168" s="11" t="s">
        <v>161</v>
      </c>
      <c r="F168" s="27"/>
      <c r="H168" s="27"/>
      <c r="J168" s="27"/>
      <c r="L168" s="27"/>
      <c r="N168" s="27"/>
      <c r="P168" s="27"/>
      <c r="R168" s="27"/>
      <c r="T168" s="27"/>
      <c r="V168" s="27"/>
      <c r="X168" s="27"/>
      <c r="Z168" s="27"/>
      <c r="AB168" s="27"/>
    </row>
  </sheetData>
  <mergeCells count="12">
    <mergeCell ref="AA4:AB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B28"/>
  <sheetViews>
    <sheetView showGridLines="0" zoomScaleNormal="100" workbookViewId="0">
      <selection activeCell="F28" sqref="F28"/>
    </sheetView>
  </sheetViews>
  <sheetFormatPr defaultRowHeight="16.5"/>
  <cols>
    <col min="1" max="1" width="3.25" customWidth="1"/>
    <col min="2" max="2" width="18.25" customWidth="1"/>
    <col min="3" max="3" width="17.375" customWidth="1"/>
    <col min="4" max="4" width="16" customWidth="1"/>
    <col min="6" max="6" width="12.25" customWidth="1"/>
    <col min="8" max="8" width="10.25" bestFit="1" customWidth="1"/>
    <col min="10" max="10" width="10.25" bestFit="1" customWidth="1"/>
    <col min="12" max="12" width="10.25" bestFit="1" customWidth="1"/>
    <col min="14" max="14" width="10.25" bestFit="1" customWidth="1"/>
  </cols>
  <sheetData>
    <row r="2" spans="2:6">
      <c r="B2" s="215" t="s">
        <v>163</v>
      </c>
      <c r="C2" s="215"/>
      <c r="D2" s="215"/>
      <c r="E2" s="216"/>
      <c r="F2" s="217"/>
    </row>
    <row r="3" spans="2:6">
      <c r="B3" s="74" t="s">
        <v>16</v>
      </c>
      <c r="C3" s="74" t="s">
        <v>164</v>
      </c>
      <c r="D3" s="74" t="s">
        <v>165</v>
      </c>
      <c r="E3" s="75"/>
      <c r="F3" s="8"/>
    </row>
    <row r="4" spans="2:6">
      <c r="B4" s="36" t="s">
        <v>17</v>
      </c>
      <c r="C4" s="120">
        <v>198</v>
      </c>
      <c r="D4" s="120">
        <v>4885200</v>
      </c>
      <c r="E4" s="216"/>
      <c r="F4" s="217"/>
    </row>
    <row r="5" spans="2:6">
      <c r="B5" s="36" t="s">
        <v>18</v>
      </c>
      <c r="C5" s="120">
        <v>429</v>
      </c>
      <c r="D5" s="120">
        <v>10763400</v>
      </c>
      <c r="E5" s="216"/>
      <c r="F5" s="217"/>
    </row>
    <row r="6" spans="2:6">
      <c r="B6" s="36" t="s">
        <v>19</v>
      </c>
      <c r="C6" s="120">
        <v>259</v>
      </c>
      <c r="D6" s="120">
        <v>6155400</v>
      </c>
      <c r="E6" s="216"/>
      <c r="F6" s="217"/>
    </row>
    <row r="7" spans="2:6">
      <c r="B7" s="36" t="s">
        <v>20</v>
      </c>
      <c r="C7" s="120">
        <v>199</v>
      </c>
      <c r="D7" s="120">
        <v>4738200</v>
      </c>
      <c r="E7" s="216"/>
      <c r="F7" s="217"/>
    </row>
    <row r="8" spans="2:6">
      <c r="B8" s="36" t="s">
        <v>21</v>
      </c>
      <c r="C8" s="120">
        <v>238</v>
      </c>
      <c r="D8" s="120">
        <v>5081000</v>
      </c>
      <c r="E8" s="216"/>
      <c r="F8" s="217"/>
    </row>
    <row r="9" spans="2:6">
      <c r="B9" s="36" t="s">
        <v>22</v>
      </c>
      <c r="C9" s="121">
        <v>90</v>
      </c>
      <c r="D9" s="121">
        <v>1914000</v>
      </c>
      <c r="E9" s="216"/>
      <c r="F9" s="217"/>
    </row>
    <row r="10" spans="2:6">
      <c r="B10" s="36" t="s">
        <v>125</v>
      </c>
      <c r="C10" s="76"/>
      <c r="D10" s="84"/>
      <c r="E10" s="216"/>
      <c r="F10" s="217"/>
    </row>
    <row r="11" spans="2:6">
      <c r="B11" s="36" t="s">
        <v>126</v>
      </c>
      <c r="C11" s="76"/>
      <c r="D11" s="84"/>
      <c r="E11" s="216"/>
      <c r="F11" s="217"/>
    </row>
    <row r="12" spans="2:6">
      <c r="B12" s="36" t="s">
        <v>127</v>
      </c>
      <c r="C12" s="76"/>
      <c r="D12" s="84"/>
      <c r="E12" s="216"/>
      <c r="F12" s="217"/>
    </row>
    <row r="13" spans="2:6">
      <c r="B13" s="36" t="s">
        <v>128</v>
      </c>
      <c r="C13" s="91"/>
      <c r="D13" s="92"/>
      <c r="E13" s="216"/>
      <c r="F13" s="217"/>
    </row>
    <row r="14" spans="2:6">
      <c r="B14" s="36" t="s">
        <v>129</v>
      </c>
      <c r="C14" s="91"/>
      <c r="D14" s="92"/>
      <c r="E14" s="216"/>
      <c r="F14" s="217"/>
    </row>
    <row r="15" spans="2:6">
      <c r="B15" s="36" t="s">
        <v>130</v>
      </c>
      <c r="C15" s="76"/>
      <c r="D15" s="36"/>
      <c r="E15" s="216"/>
      <c r="F15" s="217"/>
    </row>
    <row r="16" spans="2:6">
      <c r="D16" s="80">
        <f>SUM(D4:D15)</f>
        <v>33537200</v>
      </c>
    </row>
    <row r="18" spans="2:28" s="8" customFormat="1">
      <c r="B18" s="212" t="s">
        <v>166</v>
      </c>
      <c r="C18" s="212"/>
      <c r="D18" s="212"/>
    </row>
    <row r="19" spans="2:28" s="8" customFormat="1"/>
    <row r="20" spans="2:28" s="8" customFormat="1">
      <c r="B20" s="214" t="s">
        <v>167</v>
      </c>
      <c r="C20" s="214" t="s">
        <v>168</v>
      </c>
      <c r="D20" s="214" t="s">
        <v>169</v>
      </c>
      <c r="E20" s="213">
        <v>1</v>
      </c>
      <c r="F20" s="213"/>
      <c r="G20" s="213">
        <v>2</v>
      </c>
      <c r="H20" s="213"/>
      <c r="I20" s="213">
        <v>3</v>
      </c>
      <c r="J20" s="213"/>
      <c r="K20" s="213">
        <v>4</v>
      </c>
      <c r="L20" s="213"/>
      <c r="M20" s="213">
        <v>5</v>
      </c>
      <c r="N20" s="213"/>
      <c r="O20" s="213">
        <v>6</v>
      </c>
      <c r="P20" s="213"/>
      <c r="Q20" s="213">
        <v>7</v>
      </c>
      <c r="R20" s="213"/>
      <c r="S20" s="213">
        <v>8</v>
      </c>
      <c r="T20" s="213"/>
      <c r="U20" s="213">
        <v>9</v>
      </c>
      <c r="V20" s="213"/>
      <c r="W20" s="213">
        <v>10</v>
      </c>
      <c r="X20" s="213"/>
      <c r="Y20" s="213">
        <v>11</v>
      </c>
      <c r="Z20" s="213"/>
      <c r="AA20" s="213">
        <v>12</v>
      </c>
      <c r="AB20" s="213"/>
    </row>
    <row r="21" spans="2:28" s="8" customFormat="1">
      <c r="B21" s="214"/>
      <c r="C21" s="214"/>
      <c r="D21" s="214"/>
      <c r="E21" s="127" t="s">
        <v>170</v>
      </c>
      <c r="F21" s="127" t="s">
        <v>171</v>
      </c>
      <c r="G21" s="127" t="s">
        <v>170</v>
      </c>
      <c r="H21" s="127" t="s">
        <v>171</v>
      </c>
      <c r="I21" s="127" t="s">
        <v>170</v>
      </c>
      <c r="J21" s="127" t="s">
        <v>171</v>
      </c>
      <c r="K21" s="127" t="s">
        <v>170</v>
      </c>
      <c r="L21" s="127" t="s">
        <v>171</v>
      </c>
      <c r="M21" s="127" t="s">
        <v>170</v>
      </c>
      <c r="N21" s="127" t="s">
        <v>171</v>
      </c>
      <c r="O21" s="127" t="s">
        <v>170</v>
      </c>
      <c r="P21" s="127" t="s">
        <v>171</v>
      </c>
      <c r="Q21" s="28" t="s">
        <v>170</v>
      </c>
      <c r="R21" s="28" t="s">
        <v>171</v>
      </c>
      <c r="S21" s="28" t="s">
        <v>170</v>
      </c>
      <c r="T21" s="28" t="s">
        <v>171</v>
      </c>
      <c r="U21" s="28" t="s">
        <v>170</v>
      </c>
      <c r="V21" s="28" t="s">
        <v>171</v>
      </c>
      <c r="W21" s="28" t="s">
        <v>170</v>
      </c>
      <c r="X21" s="28" t="s">
        <v>171</v>
      </c>
      <c r="Y21" s="28" t="s">
        <v>170</v>
      </c>
      <c r="Z21" s="28" t="s">
        <v>171</v>
      </c>
      <c r="AA21" s="28" t="s">
        <v>170</v>
      </c>
      <c r="AB21" s="28" t="s">
        <v>171</v>
      </c>
    </row>
    <row r="22" spans="2:28" s="8" customFormat="1">
      <c r="B22" s="46" t="s">
        <v>172</v>
      </c>
      <c r="C22" s="46" t="s">
        <v>173</v>
      </c>
      <c r="D22" s="46" t="s">
        <v>174</v>
      </c>
      <c r="E22" s="29">
        <v>9211</v>
      </c>
      <c r="F22" s="29">
        <v>18274000</v>
      </c>
      <c r="G22" s="29">
        <v>8454</v>
      </c>
      <c r="H22" s="29">
        <v>16638000</v>
      </c>
      <c r="I22" s="29">
        <v>9893</v>
      </c>
      <c r="J22" s="29">
        <v>19499000</v>
      </c>
      <c r="K22" s="29">
        <v>9661</v>
      </c>
      <c r="L22" s="29">
        <v>19024000</v>
      </c>
      <c r="M22" s="29">
        <v>10434</v>
      </c>
      <c r="N22" s="29">
        <v>20480000</v>
      </c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spans="2:28" s="8" customFormat="1">
      <c r="B23" s="46" t="s">
        <v>172</v>
      </c>
      <c r="C23" s="46" t="s">
        <v>175</v>
      </c>
      <c r="D23" s="46" t="s">
        <v>176</v>
      </c>
      <c r="E23" s="29">
        <v>536</v>
      </c>
      <c r="F23" s="29">
        <v>1025000</v>
      </c>
      <c r="G23" s="29">
        <v>137</v>
      </c>
      <c r="H23" s="29">
        <v>272000</v>
      </c>
      <c r="I23" s="29">
        <v>445</v>
      </c>
      <c r="J23" s="29">
        <v>865000</v>
      </c>
      <c r="K23" s="29">
        <v>1559</v>
      </c>
      <c r="L23" s="29">
        <v>3087000</v>
      </c>
      <c r="M23" s="29">
        <v>3678</v>
      </c>
      <c r="N23" s="29">
        <v>7295000</v>
      </c>
      <c r="O23" s="29"/>
      <c r="P23" s="85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spans="2:28" s="8" customFormat="1">
      <c r="B24" s="46" t="s">
        <v>177</v>
      </c>
      <c r="C24" s="46" t="s">
        <v>178</v>
      </c>
      <c r="D24" s="46" t="s">
        <v>179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spans="2:28" s="8" customFormat="1">
      <c r="B25" s="46"/>
      <c r="C25" s="46"/>
      <c r="D25" s="46" t="s">
        <v>180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85"/>
      <c r="Q25" s="29"/>
      <c r="R25" s="85"/>
      <c r="S25" s="29"/>
      <c r="T25" s="85"/>
      <c r="U25" s="29"/>
      <c r="V25" s="85"/>
      <c r="W25" s="46"/>
      <c r="X25" s="29"/>
      <c r="Y25" s="46"/>
      <c r="Z25" s="29"/>
      <c r="AA25" s="46"/>
      <c r="AB25" s="29"/>
    </row>
    <row r="26" spans="2:28" s="8" customFormat="1">
      <c r="B26" s="46"/>
      <c r="C26" s="46"/>
      <c r="D26" s="46" t="s">
        <v>181</v>
      </c>
      <c r="E26" s="29">
        <v>788</v>
      </c>
      <c r="F26" s="29">
        <v>7880000</v>
      </c>
      <c r="G26" s="29">
        <v>635</v>
      </c>
      <c r="H26" s="29">
        <v>6350000</v>
      </c>
      <c r="I26" s="29">
        <v>503</v>
      </c>
      <c r="J26" s="29">
        <v>5030000</v>
      </c>
      <c r="K26" s="29">
        <v>704</v>
      </c>
      <c r="L26" s="29">
        <v>7040000</v>
      </c>
      <c r="M26" s="29">
        <v>141</v>
      </c>
      <c r="N26" s="29">
        <v>1410000</v>
      </c>
      <c r="O26" s="29">
        <v>6</v>
      </c>
      <c r="P26" s="85">
        <v>60000</v>
      </c>
      <c r="Q26" s="29"/>
      <c r="R26" s="85"/>
      <c r="S26" s="29"/>
      <c r="T26" s="85"/>
      <c r="U26" s="29"/>
      <c r="V26" s="85"/>
      <c r="W26" s="46"/>
      <c r="X26" s="29"/>
      <c r="Y26" s="46"/>
      <c r="Z26" s="29"/>
      <c r="AA26" s="46"/>
      <c r="AB26" s="29"/>
    </row>
    <row r="27" spans="2:28" s="8" customFormat="1">
      <c r="B27" s="46"/>
      <c r="C27" s="46"/>
      <c r="D27" s="46" t="s">
        <v>182</v>
      </c>
      <c r="E27" s="46"/>
      <c r="F27" s="46"/>
      <c r="G27" s="46"/>
      <c r="H27" s="46"/>
      <c r="I27" s="46"/>
      <c r="J27" s="46"/>
      <c r="K27" s="46"/>
      <c r="L27" s="46"/>
      <c r="M27" s="46"/>
      <c r="N27" s="29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 spans="2:28" s="8" customFormat="1">
      <c r="F28" s="81">
        <f>SUM(F22:F27)</f>
        <v>27179000</v>
      </c>
      <c r="H28" s="81">
        <f>SUM(H22:H27)</f>
        <v>23260000</v>
      </c>
      <c r="J28" s="81">
        <f>SUM(J22:J27)</f>
        <v>25394000</v>
      </c>
      <c r="L28" s="81">
        <f>SUM(L22:L27)</f>
        <v>29151000</v>
      </c>
      <c r="N28" s="81">
        <f>SUM(N22:N27)</f>
        <v>29185000</v>
      </c>
      <c r="P28" s="81">
        <f>SUM(P22:P27)</f>
        <v>60000</v>
      </c>
    </row>
  </sheetData>
  <mergeCells count="24">
    <mergeCell ref="B2:D2"/>
    <mergeCell ref="E15:F15"/>
    <mergeCell ref="E2:F2"/>
    <mergeCell ref="E4:F4"/>
    <mergeCell ref="E5:F5"/>
    <mergeCell ref="E6:F6"/>
    <mergeCell ref="E7:F7"/>
    <mergeCell ref="E8:F14"/>
    <mergeCell ref="AA20:AB20"/>
    <mergeCell ref="I20:J20"/>
    <mergeCell ref="K20:L20"/>
    <mergeCell ref="M20:N20"/>
    <mergeCell ref="O20:P20"/>
    <mergeCell ref="Q20:R20"/>
    <mergeCell ref="B18:D18"/>
    <mergeCell ref="S20:T20"/>
    <mergeCell ref="U20:V20"/>
    <mergeCell ref="W20:X20"/>
    <mergeCell ref="Y20:Z20"/>
    <mergeCell ref="B20:B21"/>
    <mergeCell ref="C20:C21"/>
    <mergeCell ref="D20:D21"/>
    <mergeCell ref="E20:F20"/>
    <mergeCell ref="G20:H20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B2:F6563"/>
  <sheetViews>
    <sheetView topLeftCell="A3294" zoomScale="115" zoomScaleNormal="115" workbookViewId="0">
      <selection activeCell="D3324" sqref="D3324"/>
    </sheetView>
  </sheetViews>
  <sheetFormatPr defaultRowHeight="16.5"/>
  <cols>
    <col min="1" max="1" width="2.125" customWidth="1"/>
    <col min="3" max="3" width="21.375" bestFit="1" customWidth="1"/>
    <col min="4" max="4" width="34.375" customWidth="1"/>
    <col min="5" max="5" width="15.875" customWidth="1"/>
    <col min="6" max="6" width="18.375" customWidth="1"/>
  </cols>
  <sheetData>
    <row r="2" spans="2:6">
      <c r="B2" s="218" t="s">
        <v>183</v>
      </c>
      <c r="C2" s="218"/>
      <c r="D2" s="218"/>
      <c r="E2" s="218"/>
      <c r="F2" s="218"/>
    </row>
    <row r="3" spans="2:6">
      <c r="B3" s="41" t="s">
        <v>184</v>
      </c>
      <c r="C3" s="41" t="s">
        <v>185</v>
      </c>
      <c r="D3" s="41" t="s">
        <v>186</v>
      </c>
      <c r="E3" s="42" t="s">
        <v>187</v>
      </c>
      <c r="F3" s="43" t="s">
        <v>188</v>
      </c>
    </row>
    <row r="4" spans="2:6" hidden="1">
      <c r="B4" s="8">
        <v>1</v>
      </c>
      <c r="C4" s="8" t="s">
        <v>189</v>
      </c>
      <c r="D4" s="8" t="s">
        <v>190</v>
      </c>
      <c r="E4" s="39">
        <v>1640000</v>
      </c>
      <c r="F4" s="40" t="s">
        <v>191</v>
      </c>
    </row>
    <row r="5" spans="2:6" hidden="1">
      <c r="B5" s="8">
        <v>2</v>
      </c>
      <c r="C5" s="8" t="s">
        <v>192</v>
      </c>
      <c r="D5" s="8" t="s">
        <v>193</v>
      </c>
      <c r="E5" s="39">
        <v>1300000</v>
      </c>
      <c r="F5" s="40" t="s">
        <v>191</v>
      </c>
    </row>
    <row r="6" spans="2:6" hidden="1">
      <c r="B6" s="8">
        <v>3</v>
      </c>
      <c r="C6" s="8" t="s">
        <v>194</v>
      </c>
      <c r="D6" s="8" t="s">
        <v>195</v>
      </c>
      <c r="E6" s="39">
        <v>865000</v>
      </c>
      <c r="F6" s="40" t="s">
        <v>191</v>
      </c>
    </row>
    <row r="7" spans="2:6" hidden="1">
      <c r="B7" s="8">
        <v>4</v>
      </c>
      <c r="C7" s="8" t="s">
        <v>194</v>
      </c>
      <c r="D7" s="8" t="s">
        <v>196</v>
      </c>
      <c r="E7" s="39">
        <v>212000</v>
      </c>
      <c r="F7" s="40" t="s">
        <v>191</v>
      </c>
    </row>
    <row r="8" spans="2:6" hidden="1">
      <c r="B8" s="8">
        <v>5</v>
      </c>
      <c r="C8" s="8" t="s">
        <v>197</v>
      </c>
      <c r="D8" s="8" t="s">
        <v>198</v>
      </c>
      <c r="E8" s="39">
        <v>196000</v>
      </c>
      <c r="F8" s="40" t="s">
        <v>191</v>
      </c>
    </row>
    <row r="9" spans="2:6" hidden="1">
      <c r="B9" s="8">
        <v>6</v>
      </c>
      <c r="C9" s="8" t="s">
        <v>197</v>
      </c>
      <c r="D9" s="8" t="s">
        <v>199</v>
      </c>
      <c r="E9" s="39">
        <v>206000</v>
      </c>
      <c r="F9" s="40" t="s">
        <v>191</v>
      </c>
    </row>
    <row r="10" spans="2:6" hidden="1">
      <c r="B10" s="8">
        <v>7</v>
      </c>
      <c r="C10" s="8" t="s">
        <v>197</v>
      </c>
      <c r="D10" s="8" t="s">
        <v>200</v>
      </c>
      <c r="E10" s="39">
        <v>78000</v>
      </c>
      <c r="F10" s="40" t="s">
        <v>191</v>
      </c>
    </row>
    <row r="11" spans="2:6" hidden="1">
      <c r="B11" s="8">
        <v>8</v>
      </c>
      <c r="C11" s="8" t="s">
        <v>197</v>
      </c>
      <c r="D11" s="8" t="s">
        <v>201</v>
      </c>
      <c r="E11" s="39">
        <v>309000</v>
      </c>
      <c r="F11" s="40" t="s">
        <v>191</v>
      </c>
    </row>
    <row r="12" spans="2:6" hidden="1">
      <c r="B12" s="8">
        <v>9</v>
      </c>
      <c r="C12" s="8" t="s">
        <v>202</v>
      </c>
      <c r="D12" s="8" t="s">
        <v>203</v>
      </c>
      <c r="E12" s="39">
        <v>90000</v>
      </c>
      <c r="F12" s="40" t="s">
        <v>191</v>
      </c>
    </row>
    <row r="13" spans="2:6" hidden="1">
      <c r="B13" s="8">
        <v>10</v>
      </c>
      <c r="C13" s="8" t="s">
        <v>202</v>
      </c>
      <c r="D13" s="8" t="s">
        <v>204</v>
      </c>
      <c r="E13" s="39">
        <v>193000</v>
      </c>
      <c r="F13" s="40" t="s">
        <v>191</v>
      </c>
    </row>
    <row r="14" spans="2:6" hidden="1">
      <c r="B14" s="8">
        <v>11</v>
      </c>
      <c r="C14" s="8" t="s">
        <v>205</v>
      </c>
      <c r="D14" s="8" t="s">
        <v>206</v>
      </c>
      <c r="E14" s="39">
        <v>55000</v>
      </c>
      <c r="F14" s="40" t="s">
        <v>191</v>
      </c>
    </row>
    <row r="15" spans="2:6" hidden="1">
      <c r="B15" s="8">
        <v>12</v>
      </c>
      <c r="C15" s="8" t="s">
        <v>207</v>
      </c>
      <c r="D15" s="8" t="s">
        <v>204</v>
      </c>
      <c r="E15" s="39">
        <v>271000</v>
      </c>
      <c r="F15" s="40" t="s">
        <v>191</v>
      </c>
    </row>
    <row r="16" spans="2:6" hidden="1">
      <c r="B16" s="8">
        <v>13</v>
      </c>
      <c r="C16" s="8" t="s">
        <v>208</v>
      </c>
      <c r="D16" s="8" t="s">
        <v>209</v>
      </c>
      <c r="E16" s="39">
        <v>165000</v>
      </c>
      <c r="F16" s="40" t="s">
        <v>191</v>
      </c>
    </row>
    <row r="17" spans="2:6" hidden="1">
      <c r="B17" s="8">
        <v>14</v>
      </c>
      <c r="C17" s="8" t="s">
        <v>210</v>
      </c>
      <c r="D17" s="8" t="s">
        <v>211</v>
      </c>
      <c r="E17" s="39">
        <v>124000</v>
      </c>
      <c r="F17" s="40" t="s">
        <v>191</v>
      </c>
    </row>
    <row r="18" spans="2:6" hidden="1">
      <c r="B18" s="8">
        <v>15</v>
      </c>
      <c r="C18" s="8" t="s">
        <v>212</v>
      </c>
      <c r="D18" s="8" t="s">
        <v>213</v>
      </c>
      <c r="E18" s="39">
        <v>91000</v>
      </c>
      <c r="F18" s="40" t="s">
        <v>191</v>
      </c>
    </row>
    <row r="19" spans="2:6" hidden="1">
      <c r="B19" s="8">
        <v>16</v>
      </c>
      <c r="C19" s="8" t="s">
        <v>214</v>
      </c>
      <c r="D19" s="8" t="s">
        <v>215</v>
      </c>
      <c r="E19" s="39">
        <v>117000</v>
      </c>
      <c r="F19" s="40" t="s">
        <v>191</v>
      </c>
    </row>
    <row r="20" spans="2:6" hidden="1">
      <c r="B20" s="8">
        <v>17</v>
      </c>
      <c r="C20" s="8" t="s">
        <v>216</v>
      </c>
      <c r="D20" s="8" t="s">
        <v>217</v>
      </c>
      <c r="E20" s="39">
        <v>963000</v>
      </c>
      <c r="F20" s="40" t="s">
        <v>191</v>
      </c>
    </row>
    <row r="21" spans="2:6" hidden="1">
      <c r="B21" s="8">
        <v>18</v>
      </c>
      <c r="C21" s="8" t="s">
        <v>218</v>
      </c>
      <c r="D21" s="8" t="s">
        <v>219</v>
      </c>
      <c r="E21" s="39">
        <v>185000</v>
      </c>
      <c r="F21" s="40" t="s">
        <v>191</v>
      </c>
    </row>
    <row r="22" spans="2:6" hidden="1">
      <c r="B22" s="8">
        <v>19</v>
      </c>
      <c r="C22" s="8" t="s">
        <v>218</v>
      </c>
      <c r="D22" s="8" t="s">
        <v>217</v>
      </c>
      <c r="E22" s="39">
        <v>1382000</v>
      </c>
      <c r="F22" s="40" t="s">
        <v>191</v>
      </c>
    </row>
    <row r="23" spans="2:6" hidden="1">
      <c r="B23" s="8">
        <v>20</v>
      </c>
      <c r="C23" s="8" t="s">
        <v>220</v>
      </c>
      <c r="D23" s="8" t="s">
        <v>221</v>
      </c>
      <c r="E23" s="39">
        <v>71000</v>
      </c>
      <c r="F23" s="40" t="s">
        <v>191</v>
      </c>
    </row>
    <row r="24" spans="2:6" hidden="1">
      <c r="B24" s="8">
        <v>21</v>
      </c>
      <c r="C24" s="8" t="s">
        <v>222</v>
      </c>
      <c r="D24" s="8" t="s">
        <v>198</v>
      </c>
      <c r="E24" s="39">
        <v>572000</v>
      </c>
      <c r="F24" s="40" t="s">
        <v>191</v>
      </c>
    </row>
    <row r="25" spans="2:6" hidden="1">
      <c r="B25" s="8">
        <v>22</v>
      </c>
      <c r="C25" s="8" t="s">
        <v>223</v>
      </c>
      <c r="D25" s="8" t="s">
        <v>198</v>
      </c>
      <c r="E25" s="39">
        <v>123000</v>
      </c>
      <c r="F25" s="40" t="s">
        <v>191</v>
      </c>
    </row>
    <row r="26" spans="2:6" hidden="1">
      <c r="B26" s="8">
        <v>23</v>
      </c>
      <c r="C26" s="8" t="s">
        <v>224</v>
      </c>
      <c r="D26" s="8" t="s">
        <v>211</v>
      </c>
      <c r="E26" s="39">
        <v>333000</v>
      </c>
      <c r="F26" s="40" t="s">
        <v>191</v>
      </c>
    </row>
    <row r="27" spans="2:6" hidden="1">
      <c r="B27" s="8">
        <v>24</v>
      </c>
      <c r="C27" s="8" t="s">
        <v>224</v>
      </c>
      <c r="D27" s="8" t="s">
        <v>225</v>
      </c>
      <c r="E27" s="39">
        <v>1165000</v>
      </c>
      <c r="F27" s="40" t="s">
        <v>191</v>
      </c>
    </row>
    <row r="28" spans="2:6" hidden="1">
      <c r="B28" s="8">
        <v>25</v>
      </c>
      <c r="C28" s="8" t="s">
        <v>226</v>
      </c>
      <c r="D28" s="8" t="s">
        <v>211</v>
      </c>
      <c r="E28" s="39">
        <v>213000</v>
      </c>
      <c r="F28" s="40" t="s">
        <v>191</v>
      </c>
    </row>
    <row r="29" spans="2:6" hidden="1">
      <c r="B29" s="8">
        <v>26</v>
      </c>
      <c r="C29" s="8" t="s">
        <v>227</v>
      </c>
      <c r="D29" s="8" t="s">
        <v>228</v>
      </c>
      <c r="E29" s="39">
        <v>431000</v>
      </c>
      <c r="F29" s="40" t="s">
        <v>191</v>
      </c>
    </row>
    <row r="30" spans="2:6" hidden="1">
      <c r="B30" s="8">
        <v>27</v>
      </c>
      <c r="C30" s="8" t="s">
        <v>227</v>
      </c>
      <c r="D30" s="8" t="s">
        <v>229</v>
      </c>
      <c r="E30" s="39">
        <v>884000</v>
      </c>
      <c r="F30" s="40" t="s">
        <v>191</v>
      </c>
    </row>
    <row r="31" spans="2:6" hidden="1">
      <c r="B31" s="8">
        <v>28</v>
      </c>
      <c r="C31" s="8" t="s">
        <v>230</v>
      </c>
      <c r="D31" s="8" t="s">
        <v>211</v>
      </c>
      <c r="E31" s="39">
        <v>119000</v>
      </c>
      <c r="F31" s="40" t="s">
        <v>191</v>
      </c>
    </row>
    <row r="32" spans="2:6" hidden="1">
      <c r="B32" s="8">
        <v>29</v>
      </c>
      <c r="C32" s="8" t="s">
        <v>230</v>
      </c>
      <c r="D32" s="8" t="s">
        <v>198</v>
      </c>
      <c r="E32" s="39">
        <v>796000</v>
      </c>
      <c r="F32" s="40" t="s">
        <v>191</v>
      </c>
    </row>
    <row r="33" spans="2:6" hidden="1">
      <c r="B33" s="8">
        <v>30</v>
      </c>
      <c r="C33" s="8" t="s">
        <v>230</v>
      </c>
      <c r="D33" s="8" t="s">
        <v>231</v>
      </c>
      <c r="E33" s="39">
        <v>107000</v>
      </c>
      <c r="F33" s="40" t="s">
        <v>191</v>
      </c>
    </row>
    <row r="34" spans="2:6" hidden="1">
      <c r="B34" s="8">
        <v>31</v>
      </c>
      <c r="C34" s="8" t="s">
        <v>232</v>
      </c>
      <c r="D34" s="8" t="s">
        <v>233</v>
      </c>
      <c r="E34" s="39">
        <v>156000</v>
      </c>
      <c r="F34" s="40" t="s">
        <v>191</v>
      </c>
    </row>
    <row r="35" spans="2:6" hidden="1">
      <c r="B35" s="8">
        <v>32</v>
      </c>
      <c r="C35" s="8" t="s">
        <v>234</v>
      </c>
      <c r="D35" s="8" t="s">
        <v>235</v>
      </c>
      <c r="E35" s="39">
        <v>108000</v>
      </c>
      <c r="F35" s="40" t="s">
        <v>191</v>
      </c>
    </row>
    <row r="36" spans="2:6" hidden="1">
      <c r="B36" s="8">
        <v>33</v>
      </c>
      <c r="C36" s="8" t="s">
        <v>234</v>
      </c>
      <c r="D36" s="8" t="s">
        <v>236</v>
      </c>
      <c r="E36" s="39">
        <v>193000</v>
      </c>
      <c r="F36" s="40" t="s">
        <v>191</v>
      </c>
    </row>
    <row r="37" spans="2:6" hidden="1">
      <c r="B37" s="8">
        <v>34</v>
      </c>
      <c r="C37" s="8" t="s">
        <v>237</v>
      </c>
      <c r="D37" s="8" t="s">
        <v>238</v>
      </c>
      <c r="E37" s="39">
        <v>601000</v>
      </c>
      <c r="F37" s="40" t="s">
        <v>191</v>
      </c>
    </row>
    <row r="38" spans="2:6" hidden="1">
      <c r="B38" s="8">
        <v>35</v>
      </c>
      <c r="C38" s="8" t="s">
        <v>237</v>
      </c>
      <c r="D38" s="8" t="s">
        <v>239</v>
      </c>
      <c r="E38" s="39">
        <v>109000</v>
      </c>
      <c r="F38" s="40" t="s">
        <v>191</v>
      </c>
    </row>
    <row r="39" spans="2:6" hidden="1">
      <c r="B39" s="8">
        <v>36</v>
      </c>
      <c r="C39" s="8" t="s">
        <v>237</v>
      </c>
      <c r="D39" s="8" t="s">
        <v>240</v>
      </c>
      <c r="E39" s="39">
        <v>634000</v>
      </c>
      <c r="F39" s="40" t="s">
        <v>191</v>
      </c>
    </row>
    <row r="40" spans="2:6" hidden="1">
      <c r="B40" s="8">
        <v>37</v>
      </c>
      <c r="C40" s="8" t="s">
        <v>237</v>
      </c>
      <c r="D40" s="8" t="s">
        <v>241</v>
      </c>
      <c r="E40" s="39">
        <v>324000</v>
      </c>
      <c r="F40" s="40" t="s">
        <v>191</v>
      </c>
    </row>
    <row r="41" spans="2:6" hidden="1">
      <c r="B41" s="8">
        <v>38</v>
      </c>
      <c r="C41" s="8" t="s">
        <v>242</v>
      </c>
      <c r="D41" s="8" t="s">
        <v>243</v>
      </c>
      <c r="E41" s="39">
        <v>375000</v>
      </c>
      <c r="F41" s="40" t="s">
        <v>191</v>
      </c>
    </row>
    <row r="42" spans="2:6" hidden="1">
      <c r="B42" s="8">
        <v>39</v>
      </c>
      <c r="C42" s="8" t="s">
        <v>242</v>
      </c>
      <c r="D42" s="8" t="s">
        <v>244</v>
      </c>
      <c r="E42" s="39">
        <v>1135000</v>
      </c>
      <c r="F42" s="40" t="s">
        <v>191</v>
      </c>
    </row>
    <row r="43" spans="2:6" hidden="1">
      <c r="B43" s="8">
        <v>40</v>
      </c>
      <c r="C43" s="8" t="s">
        <v>242</v>
      </c>
      <c r="D43" s="8" t="s">
        <v>245</v>
      </c>
      <c r="E43" s="39">
        <v>16000</v>
      </c>
      <c r="F43" s="40" t="s">
        <v>191</v>
      </c>
    </row>
    <row r="44" spans="2:6" hidden="1">
      <c r="B44" s="8">
        <v>41</v>
      </c>
      <c r="C44" s="8" t="s">
        <v>246</v>
      </c>
      <c r="D44" s="8" t="s">
        <v>247</v>
      </c>
      <c r="E44" s="39">
        <v>101000</v>
      </c>
      <c r="F44" s="40" t="s">
        <v>191</v>
      </c>
    </row>
    <row r="45" spans="2:6" hidden="1">
      <c r="B45" s="8">
        <v>42</v>
      </c>
      <c r="C45" s="8" t="s">
        <v>248</v>
      </c>
      <c r="D45" s="8" t="s">
        <v>249</v>
      </c>
      <c r="E45" s="39">
        <v>338000</v>
      </c>
      <c r="F45" s="40" t="s">
        <v>191</v>
      </c>
    </row>
    <row r="46" spans="2:6" hidden="1">
      <c r="B46" s="8">
        <v>43</v>
      </c>
      <c r="C46" s="8" t="s">
        <v>250</v>
      </c>
      <c r="D46" s="8" t="s">
        <v>251</v>
      </c>
      <c r="E46" s="39">
        <v>584000</v>
      </c>
      <c r="F46" s="40" t="s">
        <v>191</v>
      </c>
    </row>
    <row r="47" spans="2:6" hidden="1">
      <c r="B47" s="8">
        <v>44</v>
      </c>
      <c r="C47" s="8" t="s">
        <v>250</v>
      </c>
      <c r="D47" s="8" t="s">
        <v>252</v>
      </c>
      <c r="E47" s="39">
        <v>180000</v>
      </c>
      <c r="F47" s="40" t="s">
        <v>191</v>
      </c>
    </row>
    <row r="48" spans="2:6" hidden="1">
      <c r="B48" s="8">
        <v>45</v>
      </c>
      <c r="C48" s="8" t="s">
        <v>250</v>
      </c>
      <c r="D48" s="8" t="s">
        <v>204</v>
      </c>
      <c r="E48" s="39">
        <v>239000</v>
      </c>
      <c r="F48" s="40" t="s">
        <v>191</v>
      </c>
    </row>
    <row r="49" spans="2:6" hidden="1">
      <c r="B49" s="8">
        <v>46</v>
      </c>
      <c r="C49" s="8" t="s">
        <v>250</v>
      </c>
      <c r="D49" s="8" t="s">
        <v>253</v>
      </c>
      <c r="E49" s="39">
        <v>83000</v>
      </c>
      <c r="F49" s="40" t="s">
        <v>191</v>
      </c>
    </row>
    <row r="50" spans="2:6" hidden="1">
      <c r="B50" s="8">
        <v>47</v>
      </c>
      <c r="C50" s="8" t="s">
        <v>254</v>
      </c>
      <c r="D50" s="8" t="s">
        <v>255</v>
      </c>
      <c r="E50" s="39">
        <v>232000</v>
      </c>
      <c r="F50" s="40" t="s">
        <v>191</v>
      </c>
    </row>
    <row r="51" spans="2:6" hidden="1">
      <c r="B51" s="8">
        <v>48</v>
      </c>
      <c r="C51" s="8" t="s">
        <v>254</v>
      </c>
      <c r="D51" s="8" t="s">
        <v>198</v>
      </c>
      <c r="E51" s="39">
        <v>838000</v>
      </c>
      <c r="F51" s="40" t="s">
        <v>191</v>
      </c>
    </row>
    <row r="52" spans="2:6" hidden="1">
      <c r="B52" s="8">
        <v>49</v>
      </c>
      <c r="C52" s="8" t="s">
        <v>254</v>
      </c>
      <c r="D52" s="8" t="s">
        <v>256</v>
      </c>
      <c r="E52" s="39">
        <v>95000</v>
      </c>
      <c r="F52" s="40" t="s">
        <v>191</v>
      </c>
    </row>
    <row r="53" spans="2:6" hidden="1">
      <c r="B53" s="8">
        <v>50</v>
      </c>
      <c r="C53" s="8" t="s">
        <v>254</v>
      </c>
      <c r="D53" s="8" t="s">
        <v>211</v>
      </c>
      <c r="E53" s="39">
        <v>543000</v>
      </c>
      <c r="F53" s="40" t="s">
        <v>191</v>
      </c>
    </row>
    <row r="54" spans="2:6" hidden="1">
      <c r="B54" s="8">
        <v>51</v>
      </c>
      <c r="C54" s="8" t="s">
        <v>257</v>
      </c>
      <c r="D54" s="8" t="s">
        <v>258</v>
      </c>
      <c r="E54" s="39">
        <v>103000</v>
      </c>
      <c r="F54" s="40" t="s">
        <v>191</v>
      </c>
    </row>
    <row r="55" spans="2:6" hidden="1">
      <c r="B55" s="8">
        <v>52</v>
      </c>
      <c r="C55" s="8" t="s">
        <v>259</v>
      </c>
      <c r="D55" s="8" t="s">
        <v>198</v>
      </c>
      <c r="E55" s="39">
        <v>576000</v>
      </c>
      <c r="F55" s="40" t="s">
        <v>191</v>
      </c>
    </row>
    <row r="56" spans="2:6" hidden="1">
      <c r="B56" s="8">
        <v>53</v>
      </c>
      <c r="C56" s="8" t="s">
        <v>260</v>
      </c>
      <c r="D56" s="8" t="s">
        <v>261</v>
      </c>
      <c r="E56" s="39">
        <v>254000</v>
      </c>
      <c r="F56" s="40" t="s">
        <v>191</v>
      </c>
    </row>
    <row r="57" spans="2:6" hidden="1">
      <c r="B57" s="8">
        <v>54</v>
      </c>
      <c r="C57" s="8" t="s">
        <v>260</v>
      </c>
      <c r="D57" s="8" t="s">
        <v>211</v>
      </c>
      <c r="E57" s="39">
        <v>124000</v>
      </c>
      <c r="F57" s="40" t="s">
        <v>191</v>
      </c>
    </row>
    <row r="58" spans="2:6" hidden="1">
      <c r="B58" s="8">
        <v>55</v>
      </c>
      <c r="C58" s="8" t="s">
        <v>260</v>
      </c>
      <c r="D58" s="8" t="s">
        <v>262</v>
      </c>
      <c r="E58" s="39">
        <v>999000</v>
      </c>
      <c r="F58" s="40" t="s">
        <v>191</v>
      </c>
    </row>
    <row r="59" spans="2:6" hidden="1">
      <c r="B59" s="8">
        <v>56</v>
      </c>
      <c r="C59" s="8" t="s">
        <v>263</v>
      </c>
      <c r="D59" s="8" t="s">
        <v>198</v>
      </c>
      <c r="E59" s="39">
        <v>1382000</v>
      </c>
      <c r="F59" s="40" t="s">
        <v>191</v>
      </c>
    </row>
    <row r="60" spans="2:6" hidden="1">
      <c r="B60" s="8">
        <v>57</v>
      </c>
      <c r="C60" s="8" t="s">
        <v>264</v>
      </c>
      <c r="D60" s="8" t="s">
        <v>265</v>
      </c>
      <c r="E60" s="39">
        <v>303000</v>
      </c>
      <c r="F60" s="40" t="s">
        <v>191</v>
      </c>
    </row>
    <row r="61" spans="2:6" hidden="1">
      <c r="B61" s="8">
        <v>58</v>
      </c>
      <c r="C61" s="8" t="s">
        <v>266</v>
      </c>
      <c r="D61" s="8" t="s">
        <v>267</v>
      </c>
      <c r="E61" s="39">
        <v>113000</v>
      </c>
      <c r="F61" s="40" t="s">
        <v>191</v>
      </c>
    </row>
    <row r="62" spans="2:6" hidden="1">
      <c r="B62" s="8">
        <v>59</v>
      </c>
      <c r="C62" s="8" t="s">
        <v>268</v>
      </c>
      <c r="D62" s="8" t="s">
        <v>203</v>
      </c>
      <c r="E62" s="39">
        <v>115000</v>
      </c>
      <c r="F62" s="40" t="s">
        <v>191</v>
      </c>
    </row>
    <row r="63" spans="2:6" hidden="1">
      <c r="B63" s="8">
        <v>60</v>
      </c>
      <c r="C63" s="8" t="s">
        <v>269</v>
      </c>
      <c r="D63" s="8" t="s">
        <v>270</v>
      </c>
      <c r="E63" s="39">
        <v>296000</v>
      </c>
      <c r="F63" s="40" t="s">
        <v>191</v>
      </c>
    </row>
    <row r="64" spans="2:6" hidden="1">
      <c r="B64" s="8">
        <v>61</v>
      </c>
      <c r="C64" s="8" t="s">
        <v>269</v>
      </c>
      <c r="D64" s="8" t="s">
        <v>271</v>
      </c>
      <c r="E64" s="39">
        <v>255000</v>
      </c>
      <c r="F64" s="40" t="s">
        <v>191</v>
      </c>
    </row>
    <row r="65" spans="2:6" hidden="1">
      <c r="B65" s="8">
        <v>62</v>
      </c>
      <c r="C65" s="8" t="s">
        <v>269</v>
      </c>
      <c r="D65" s="8" t="s">
        <v>272</v>
      </c>
      <c r="E65" s="39">
        <v>1220000</v>
      </c>
      <c r="F65" s="40" t="s">
        <v>191</v>
      </c>
    </row>
    <row r="66" spans="2:6" hidden="1">
      <c r="B66" s="8">
        <v>63</v>
      </c>
      <c r="C66" s="8" t="s">
        <v>269</v>
      </c>
      <c r="D66" s="8" t="s">
        <v>273</v>
      </c>
      <c r="E66" s="39">
        <v>510000</v>
      </c>
      <c r="F66" s="40" t="s">
        <v>191</v>
      </c>
    </row>
    <row r="67" spans="2:6" hidden="1">
      <c r="B67" s="8">
        <v>64</v>
      </c>
      <c r="C67" s="8" t="s">
        <v>274</v>
      </c>
      <c r="D67" s="8" t="s">
        <v>275</v>
      </c>
      <c r="E67" s="39">
        <v>387000</v>
      </c>
      <c r="F67" s="40" t="s">
        <v>191</v>
      </c>
    </row>
    <row r="68" spans="2:6" hidden="1">
      <c r="B68" s="8">
        <v>65</v>
      </c>
      <c r="C68" s="8" t="s">
        <v>276</v>
      </c>
      <c r="D68" s="8" t="s">
        <v>199</v>
      </c>
      <c r="E68" s="39">
        <v>195000</v>
      </c>
      <c r="F68" s="40" t="s">
        <v>191</v>
      </c>
    </row>
    <row r="69" spans="2:6" hidden="1">
      <c r="B69" s="8">
        <v>66</v>
      </c>
      <c r="C69" s="8" t="s">
        <v>277</v>
      </c>
      <c r="D69" s="8" t="s">
        <v>198</v>
      </c>
      <c r="E69" s="39">
        <v>273000</v>
      </c>
      <c r="F69" s="40" t="s">
        <v>191</v>
      </c>
    </row>
    <row r="70" spans="2:6" hidden="1">
      <c r="B70" s="8">
        <v>67</v>
      </c>
      <c r="C70" s="8" t="s">
        <v>277</v>
      </c>
      <c r="D70" s="8" t="s">
        <v>278</v>
      </c>
      <c r="E70" s="39">
        <v>1168000</v>
      </c>
      <c r="F70" s="40" t="s">
        <v>191</v>
      </c>
    </row>
    <row r="71" spans="2:6" hidden="1">
      <c r="B71" s="8">
        <v>68</v>
      </c>
      <c r="C71" s="8" t="s">
        <v>277</v>
      </c>
      <c r="D71" s="8" t="s">
        <v>199</v>
      </c>
      <c r="E71" s="39">
        <v>176000</v>
      </c>
      <c r="F71" s="40" t="s">
        <v>191</v>
      </c>
    </row>
    <row r="72" spans="2:6" hidden="1">
      <c r="B72" s="8">
        <v>69</v>
      </c>
      <c r="C72" s="8" t="s">
        <v>277</v>
      </c>
      <c r="D72" s="8" t="s">
        <v>199</v>
      </c>
      <c r="E72" s="39">
        <v>55000</v>
      </c>
      <c r="F72" s="40" t="s">
        <v>191</v>
      </c>
    </row>
    <row r="73" spans="2:6" hidden="1">
      <c r="B73" s="8">
        <v>70</v>
      </c>
      <c r="C73" s="8" t="s">
        <v>279</v>
      </c>
      <c r="D73" s="8" t="s">
        <v>211</v>
      </c>
      <c r="E73" s="39">
        <v>437000</v>
      </c>
      <c r="F73" s="40" t="s">
        <v>191</v>
      </c>
    </row>
    <row r="74" spans="2:6" hidden="1">
      <c r="B74" s="8">
        <v>71</v>
      </c>
      <c r="C74" s="8" t="s">
        <v>279</v>
      </c>
      <c r="D74" s="8" t="s">
        <v>280</v>
      </c>
      <c r="E74" s="39">
        <v>366000</v>
      </c>
      <c r="F74" s="40" t="s">
        <v>191</v>
      </c>
    </row>
    <row r="75" spans="2:6" hidden="1">
      <c r="B75" s="8">
        <v>72</v>
      </c>
      <c r="C75" s="8" t="s">
        <v>281</v>
      </c>
      <c r="D75" s="8" t="s">
        <v>282</v>
      </c>
      <c r="E75" s="39">
        <v>150000</v>
      </c>
      <c r="F75" s="40" t="s">
        <v>191</v>
      </c>
    </row>
    <row r="76" spans="2:6" hidden="1">
      <c r="B76" s="8">
        <v>73</v>
      </c>
      <c r="C76" s="8" t="s">
        <v>283</v>
      </c>
      <c r="D76" s="8" t="s">
        <v>284</v>
      </c>
      <c r="E76" s="39">
        <v>706000</v>
      </c>
      <c r="F76" s="40" t="s">
        <v>191</v>
      </c>
    </row>
    <row r="77" spans="2:6" hidden="1">
      <c r="B77" s="8">
        <v>74</v>
      </c>
      <c r="C77" s="8" t="s">
        <v>285</v>
      </c>
      <c r="D77" s="8" t="s">
        <v>286</v>
      </c>
      <c r="E77" s="39">
        <v>400000</v>
      </c>
      <c r="F77" s="40" t="s">
        <v>191</v>
      </c>
    </row>
    <row r="78" spans="2:6" hidden="1">
      <c r="B78" s="8">
        <v>75</v>
      </c>
      <c r="C78" s="8" t="s">
        <v>287</v>
      </c>
      <c r="D78" s="8" t="s">
        <v>288</v>
      </c>
      <c r="E78" s="39">
        <v>375000</v>
      </c>
      <c r="F78" s="40" t="s">
        <v>191</v>
      </c>
    </row>
    <row r="79" spans="2:6" hidden="1">
      <c r="B79" s="8">
        <v>76</v>
      </c>
      <c r="C79" s="8" t="s">
        <v>287</v>
      </c>
      <c r="D79" s="8" t="s">
        <v>289</v>
      </c>
      <c r="E79" s="39">
        <v>202000</v>
      </c>
      <c r="F79" s="40" t="s">
        <v>191</v>
      </c>
    </row>
    <row r="80" spans="2:6" hidden="1">
      <c r="B80" s="8">
        <v>77</v>
      </c>
      <c r="C80" s="8" t="s">
        <v>290</v>
      </c>
      <c r="D80" s="8" t="s">
        <v>291</v>
      </c>
      <c r="E80" s="39">
        <v>512000</v>
      </c>
      <c r="F80" s="40" t="s">
        <v>191</v>
      </c>
    </row>
    <row r="81" spans="2:6" hidden="1">
      <c r="B81" s="8">
        <v>78</v>
      </c>
      <c r="C81" s="8" t="s">
        <v>292</v>
      </c>
      <c r="D81" s="8" t="s">
        <v>247</v>
      </c>
      <c r="E81" s="39">
        <v>130000</v>
      </c>
      <c r="F81" s="40" t="s">
        <v>191</v>
      </c>
    </row>
    <row r="82" spans="2:6" hidden="1">
      <c r="B82" s="8">
        <v>79</v>
      </c>
      <c r="C82" s="8" t="s">
        <v>293</v>
      </c>
      <c r="D82" s="8" t="s">
        <v>199</v>
      </c>
      <c r="E82" s="39">
        <v>220000</v>
      </c>
      <c r="F82" s="40" t="s">
        <v>191</v>
      </c>
    </row>
    <row r="83" spans="2:6" hidden="1">
      <c r="B83" s="8">
        <v>80</v>
      </c>
      <c r="C83" s="8" t="s">
        <v>294</v>
      </c>
      <c r="D83" s="8" t="s">
        <v>295</v>
      </c>
      <c r="E83" s="39">
        <v>74000</v>
      </c>
      <c r="F83" s="40" t="s">
        <v>191</v>
      </c>
    </row>
    <row r="84" spans="2:6" hidden="1">
      <c r="B84" s="8">
        <v>81</v>
      </c>
      <c r="C84" s="8" t="s">
        <v>296</v>
      </c>
      <c r="D84" s="8" t="s">
        <v>297</v>
      </c>
      <c r="E84" s="39">
        <v>432000</v>
      </c>
      <c r="F84" s="40" t="s">
        <v>191</v>
      </c>
    </row>
    <row r="85" spans="2:6" hidden="1">
      <c r="B85" s="8">
        <v>82</v>
      </c>
      <c r="C85" s="8" t="s">
        <v>298</v>
      </c>
      <c r="D85" s="8" t="s">
        <v>299</v>
      </c>
      <c r="E85" s="39">
        <v>1051000</v>
      </c>
      <c r="F85" s="40" t="s">
        <v>191</v>
      </c>
    </row>
    <row r="86" spans="2:6" hidden="1">
      <c r="B86" s="8">
        <v>83</v>
      </c>
      <c r="C86" s="8" t="s">
        <v>298</v>
      </c>
      <c r="D86" s="8" t="s">
        <v>300</v>
      </c>
      <c r="E86" s="39">
        <v>737000</v>
      </c>
      <c r="F86" s="40" t="s">
        <v>191</v>
      </c>
    </row>
    <row r="87" spans="2:6" hidden="1">
      <c r="B87" s="8">
        <v>84</v>
      </c>
      <c r="C87" s="8" t="s">
        <v>298</v>
      </c>
      <c r="D87" s="8" t="s">
        <v>301</v>
      </c>
      <c r="E87" s="39">
        <v>148000</v>
      </c>
      <c r="F87" s="40" t="s">
        <v>191</v>
      </c>
    </row>
    <row r="88" spans="2:6" hidden="1">
      <c r="B88" s="8">
        <v>85</v>
      </c>
      <c r="C88" s="8" t="s">
        <v>302</v>
      </c>
      <c r="D88" s="8" t="s">
        <v>303</v>
      </c>
      <c r="E88" s="39">
        <v>114000</v>
      </c>
      <c r="F88" s="40" t="s">
        <v>191</v>
      </c>
    </row>
    <row r="89" spans="2:6" hidden="1">
      <c r="B89" s="8">
        <v>86</v>
      </c>
      <c r="C89" s="8" t="s">
        <v>304</v>
      </c>
      <c r="D89" s="8" t="s">
        <v>305</v>
      </c>
      <c r="E89" s="39">
        <v>149000</v>
      </c>
      <c r="F89" s="40" t="s">
        <v>191</v>
      </c>
    </row>
    <row r="90" spans="2:6" hidden="1">
      <c r="B90" s="8">
        <v>87</v>
      </c>
      <c r="C90" s="8" t="s">
        <v>304</v>
      </c>
      <c r="D90" s="8" t="s">
        <v>306</v>
      </c>
      <c r="E90" s="39">
        <v>154000</v>
      </c>
      <c r="F90" s="40" t="s">
        <v>191</v>
      </c>
    </row>
    <row r="91" spans="2:6" hidden="1">
      <c r="B91" s="8">
        <v>88</v>
      </c>
      <c r="C91" s="8" t="s">
        <v>304</v>
      </c>
      <c r="D91" s="8" t="s">
        <v>217</v>
      </c>
      <c r="E91" s="39">
        <v>963000</v>
      </c>
      <c r="F91" s="40" t="s">
        <v>191</v>
      </c>
    </row>
    <row r="92" spans="2:6" hidden="1">
      <c r="B92" s="8">
        <v>89</v>
      </c>
      <c r="C92" s="8" t="s">
        <v>304</v>
      </c>
      <c r="D92" s="8" t="s">
        <v>307</v>
      </c>
      <c r="E92" s="39">
        <v>118000</v>
      </c>
      <c r="F92" s="40" t="s">
        <v>191</v>
      </c>
    </row>
    <row r="93" spans="2:6" hidden="1">
      <c r="B93" s="8">
        <v>90</v>
      </c>
      <c r="C93" s="8" t="s">
        <v>308</v>
      </c>
      <c r="D93" s="8" t="s">
        <v>309</v>
      </c>
      <c r="E93" s="39">
        <v>5210000</v>
      </c>
      <c r="F93" s="40" t="s">
        <v>191</v>
      </c>
    </row>
    <row r="94" spans="2:6" hidden="1">
      <c r="B94" s="8">
        <v>91</v>
      </c>
      <c r="C94" s="8" t="s">
        <v>310</v>
      </c>
      <c r="D94" s="8" t="s">
        <v>311</v>
      </c>
      <c r="E94" s="39">
        <v>338000</v>
      </c>
      <c r="F94" s="40" t="s">
        <v>191</v>
      </c>
    </row>
    <row r="95" spans="2:6" hidden="1">
      <c r="B95" s="8">
        <v>92</v>
      </c>
      <c r="C95" s="8" t="s">
        <v>310</v>
      </c>
      <c r="D95" s="8" t="s">
        <v>312</v>
      </c>
      <c r="E95" s="39">
        <v>372000</v>
      </c>
      <c r="F95" s="40" t="s">
        <v>191</v>
      </c>
    </row>
    <row r="96" spans="2:6" hidden="1">
      <c r="B96" s="8">
        <v>93</v>
      </c>
      <c r="C96" s="8" t="s">
        <v>313</v>
      </c>
      <c r="D96" s="8" t="s">
        <v>314</v>
      </c>
      <c r="E96" s="39">
        <v>163000</v>
      </c>
      <c r="F96" s="40" t="s">
        <v>191</v>
      </c>
    </row>
    <row r="97" spans="2:6" hidden="1">
      <c r="B97" s="8">
        <v>94</v>
      </c>
      <c r="C97" s="8" t="s">
        <v>315</v>
      </c>
      <c r="D97" s="8" t="s">
        <v>198</v>
      </c>
      <c r="E97" s="39">
        <v>1027000</v>
      </c>
      <c r="F97" s="40" t="s">
        <v>191</v>
      </c>
    </row>
    <row r="98" spans="2:6" hidden="1">
      <c r="B98" s="8">
        <v>95</v>
      </c>
      <c r="C98" s="8" t="s">
        <v>316</v>
      </c>
      <c r="D98" s="8" t="s">
        <v>317</v>
      </c>
      <c r="E98" s="39">
        <v>281000</v>
      </c>
      <c r="F98" s="40" t="s">
        <v>191</v>
      </c>
    </row>
    <row r="99" spans="2:6" hidden="1">
      <c r="B99" s="8">
        <v>96</v>
      </c>
      <c r="C99" s="8" t="s">
        <v>316</v>
      </c>
      <c r="D99" s="8" t="s">
        <v>211</v>
      </c>
      <c r="E99" s="39">
        <v>302000</v>
      </c>
      <c r="F99" s="40" t="s">
        <v>191</v>
      </c>
    </row>
    <row r="100" spans="2:6" hidden="1">
      <c r="B100" s="8">
        <v>97</v>
      </c>
      <c r="C100" s="8" t="s">
        <v>318</v>
      </c>
      <c r="D100" s="8" t="s">
        <v>204</v>
      </c>
      <c r="E100" s="39">
        <v>533000</v>
      </c>
      <c r="F100" s="40" t="s">
        <v>191</v>
      </c>
    </row>
    <row r="101" spans="2:6" hidden="1">
      <c r="B101" s="8">
        <v>98</v>
      </c>
      <c r="C101" s="8" t="s">
        <v>318</v>
      </c>
      <c r="D101" s="8" t="s">
        <v>319</v>
      </c>
      <c r="E101" s="39">
        <v>182000</v>
      </c>
      <c r="F101" s="40" t="s">
        <v>191</v>
      </c>
    </row>
    <row r="102" spans="2:6" hidden="1">
      <c r="B102" s="8">
        <v>99</v>
      </c>
      <c r="C102" s="8" t="s">
        <v>318</v>
      </c>
      <c r="D102" s="8" t="s">
        <v>320</v>
      </c>
      <c r="E102" s="39">
        <v>130000</v>
      </c>
      <c r="F102" s="40" t="s">
        <v>191</v>
      </c>
    </row>
    <row r="103" spans="2:6" hidden="1">
      <c r="B103" s="8">
        <v>100</v>
      </c>
      <c r="C103" s="8" t="s">
        <v>318</v>
      </c>
      <c r="D103" s="8" t="s">
        <v>204</v>
      </c>
      <c r="E103" s="39">
        <v>238000</v>
      </c>
      <c r="F103" s="40" t="s">
        <v>191</v>
      </c>
    </row>
    <row r="104" spans="2:6" hidden="1">
      <c r="B104" s="8">
        <v>101</v>
      </c>
      <c r="C104" s="8" t="s">
        <v>318</v>
      </c>
      <c r="D104" s="8" t="s">
        <v>321</v>
      </c>
      <c r="E104" s="39">
        <v>228000</v>
      </c>
      <c r="F104" s="40" t="s">
        <v>191</v>
      </c>
    </row>
    <row r="105" spans="2:6" hidden="1">
      <c r="B105" s="8">
        <v>102</v>
      </c>
      <c r="C105" s="8" t="s">
        <v>322</v>
      </c>
      <c r="D105" s="8" t="s">
        <v>323</v>
      </c>
      <c r="E105" s="39">
        <v>902000</v>
      </c>
      <c r="F105" s="40" t="s">
        <v>191</v>
      </c>
    </row>
    <row r="106" spans="2:6" hidden="1">
      <c r="B106" s="8">
        <v>103</v>
      </c>
      <c r="C106" s="8" t="s">
        <v>324</v>
      </c>
      <c r="D106" s="8" t="s">
        <v>325</v>
      </c>
      <c r="E106" s="39">
        <v>879000</v>
      </c>
      <c r="F106" s="40" t="s">
        <v>191</v>
      </c>
    </row>
    <row r="107" spans="2:6" hidden="1">
      <c r="B107" s="8">
        <v>104</v>
      </c>
      <c r="C107" s="8" t="s">
        <v>326</v>
      </c>
      <c r="D107" s="8" t="s">
        <v>327</v>
      </c>
      <c r="E107" s="39">
        <v>55000</v>
      </c>
      <c r="F107" s="40" t="s">
        <v>191</v>
      </c>
    </row>
    <row r="108" spans="2:6" hidden="1">
      <c r="B108" s="8">
        <v>105</v>
      </c>
      <c r="C108" s="8" t="s">
        <v>326</v>
      </c>
      <c r="D108" s="8" t="s">
        <v>328</v>
      </c>
      <c r="E108" s="39">
        <v>103000</v>
      </c>
      <c r="F108" s="40" t="s">
        <v>191</v>
      </c>
    </row>
    <row r="109" spans="2:6" hidden="1">
      <c r="B109" s="8">
        <v>106</v>
      </c>
      <c r="C109" s="8" t="s">
        <v>329</v>
      </c>
      <c r="D109" s="8" t="s">
        <v>198</v>
      </c>
      <c r="E109" s="39">
        <v>1005000</v>
      </c>
      <c r="F109" s="40" t="s">
        <v>191</v>
      </c>
    </row>
    <row r="110" spans="2:6" hidden="1">
      <c r="B110" s="8">
        <v>107</v>
      </c>
      <c r="C110" s="8" t="s">
        <v>329</v>
      </c>
      <c r="D110" s="8" t="s">
        <v>330</v>
      </c>
      <c r="E110" s="39">
        <v>138000</v>
      </c>
      <c r="F110" s="40" t="s">
        <v>191</v>
      </c>
    </row>
    <row r="111" spans="2:6" hidden="1">
      <c r="B111" s="8">
        <v>108</v>
      </c>
      <c r="C111" s="8" t="s">
        <v>331</v>
      </c>
      <c r="D111" s="8" t="s">
        <v>332</v>
      </c>
      <c r="E111" s="39">
        <v>597000</v>
      </c>
      <c r="F111" s="40" t="s">
        <v>191</v>
      </c>
    </row>
    <row r="112" spans="2:6" hidden="1">
      <c r="B112" s="8">
        <v>109</v>
      </c>
      <c r="C112" s="8" t="s">
        <v>333</v>
      </c>
      <c r="D112" s="8" t="s">
        <v>334</v>
      </c>
      <c r="E112" s="39">
        <v>55000</v>
      </c>
      <c r="F112" s="40" t="s">
        <v>191</v>
      </c>
    </row>
    <row r="113" spans="2:6" hidden="1">
      <c r="B113" s="8">
        <v>110</v>
      </c>
      <c r="C113" s="8" t="s">
        <v>333</v>
      </c>
      <c r="D113" s="8" t="s">
        <v>335</v>
      </c>
      <c r="E113" s="39">
        <v>257000</v>
      </c>
      <c r="F113" s="40" t="s">
        <v>191</v>
      </c>
    </row>
    <row r="114" spans="2:6" hidden="1">
      <c r="B114" s="8">
        <v>111</v>
      </c>
      <c r="C114" s="8" t="s">
        <v>336</v>
      </c>
      <c r="D114" s="8" t="s">
        <v>337</v>
      </c>
      <c r="E114" s="39">
        <v>62000</v>
      </c>
      <c r="F114" s="40" t="s">
        <v>191</v>
      </c>
    </row>
    <row r="115" spans="2:6" hidden="1">
      <c r="B115" s="8">
        <v>112</v>
      </c>
      <c r="C115" s="8" t="s">
        <v>338</v>
      </c>
      <c r="D115" s="8" t="s">
        <v>339</v>
      </c>
      <c r="E115" s="39">
        <v>166000</v>
      </c>
      <c r="F115" s="40" t="s">
        <v>191</v>
      </c>
    </row>
    <row r="116" spans="2:6" hidden="1">
      <c r="B116" s="8">
        <v>113</v>
      </c>
      <c r="C116" s="8" t="s">
        <v>340</v>
      </c>
      <c r="D116" s="8" t="s">
        <v>211</v>
      </c>
      <c r="E116" s="39">
        <v>263000</v>
      </c>
      <c r="F116" s="40" t="s">
        <v>191</v>
      </c>
    </row>
    <row r="117" spans="2:6" hidden="1">
      <c r="B117" s="8">
        <v>114</v>
      </c>
      <c r="C117" s="8" t="s">
        <v>341</v>
      </c>
      <c r="D117" s="8" t="s">
        <v>342</v>
      </c>
      <c r="E117" s="39">
        <v>34000</v>
      </c>
      <c r="F117" s="40" t="s">
        <v>191</v>
      </c>
    </row>
    <row r="118" spans="2:6" hidden="1">
      <c r="B118" s="8">
        <v>115</v>
      </c>
      <c r="C118" s="8" t="s">
        <v>341</v>
      </c>
      <c r="D118" s="8" t="s">
        <v>198</v>
      </c>
      <c r="E118" s="39">
        <v>754000</v>
      </c>
      <c r="F118" s="40" t="s">
        <v>191</v>
      </c>
    </row>
    <row r="119" spans="2:6" hidden="1">
      <c r="B119" s="8">
        <v>116</v>
      </c>
      <c r="C119" s="8" t="s">
        <v>341</v>
      </c>
      <c r="D119" s="8" t="s">
        <v>343</v>
      </c>
      <c r="E119" s="39">
        <v>147000</v>
      </c>
      <c r="F119" s="40" t="s">
        <v>191</v>
      </c>
    </row>
    <row r="120" spans="2:6" hidden="1">
      <c r="B120" s="8">
        <v>117</v>
      </c>
      <c r="C120" s="8" t="s">
        <v>344</v>
      </c>
      <c r="D120" s="8" t="s">
        <v>345</v>
      </c>
      <c r="E120" s="39">
        <v>176000</v>
      </c>
      <c r="F120" s="40" t="s">
        <v>191</v>
      </c>
    </row>
    <row r="121" spans="2:6" hidden="1">
      <c r="B121" s="8">
        <v>118</v>
      </c>
      <c r="C121" s="8" t="s">
        <v>344</v>
      </c>
      <c r="D121" s="8" t="s">
        <v>346</v>
      </c>
      <c r="E121" s="39">
        <v>192000</v>
      </c>
      <c r="F121" s="40" t="s">
        <v>191</v>
      </c>
    </row>
    <row r="122" spans="2:6" hidden="1">
      <c r="B122" s="8">
        <v>119</v>
      </c>
      <c r="C122" s="8" t="s">
        <v>344</v>
      </c>
      <c r="D122" s="8" t="s">
        <v>347</v>
      </c>
      <c r="E122" s="39">
        <v>150000</v>
      </c>
      <c r="F122" s="40" t="s">
        <v>191</v>
      </c>
    </row>
    <row r="123" spans="2:6" hidden="1">
      <c r="B123" s="8">
        <v>120</v>
      </c>
      <c r="C123" s="8" t="s">
        <v>344</v>
      </c>
      <c r="D123" s="8" t="s">
        <v>348</v>
      </c>
      <c r="E123" s="39">
        <v>70000</v>
      </c>
      <c r="F123" s="40" t="s">
        <v>191</v>
      </c>
    </row>
    <row r="124" spans="2:6" hidden="1">
      <c r="B124" s="8">
        <v>121</v>
      </c>
      <c r="C124" s="8" t="s">
        <v>349</v>
      </c>
      <c r="D124" s="8" t="s">
        <v>350</v>
      </c>
      <c r="E124" s="39">
        <v>330000</v>
      </c>
      <c r="F124" s="40" t="s">
        <v>191</v>
      </c>
    </row>
    <row r="125" spans="2:6" hidden="1">
      <c r="B125" s="8">
        <v>122</v>
      </c>
      <c r="C125" s="8" t="s">
        <v>351</v>
      </c>
      <c r="D125" s="8" t="s">
        <v>204</v>
      </c>
      <c r="E125" s="39">
        <v>211000</v>
      </c>
      <c r="F125" s="40" t="s">
        <v>191</v>
      </c>
    </row>
    <row r="126" spans="2:6" hidden="1">
      <c r="B126" s="8">
        <v>123</v>
      </c>
      <c r="C126" s="8" t="s">
        <v>352</v>
      </c>
      <c r="D126" s="8" t="s">
        <v>204</v>
      </c>
      <c r="E126" s="39">
        <v>302000</v>
      </c>
      <c r="F126" s="40" t="s">
        <v>191</v>
      </c>
    </row>
    <row r="127" spans="2:6" hidden="1">
      <c r="B127" s="8">
        <v>124</v>
      </c>
      <c r="C127" s="8" t="s">
        <v>352</v>
      </c>
      <c r="D127" s="8" t="s">
        <v>217</v>
      </c>
      <c r="E127" s="39">
        <v>294000</v>
      </c>
      <c r="F127" s="40" t="s">
        <v>191</v>
      </c>
    </row>
    <row r="128" spans="2:6" hidden="1">
      <c r="B128" s="8">
        <v>125</v>
      </c>
      <c r="C128" s="8" t="s">
        <v>352</v>
      </c>
      <c r="D128" s="8" t="s">
        <v>217</v>
      </c>
      <c r="E128" s="39">
        <v>466000</v>
      </c>
      <c r="F128" s="40" t="s">
        <v>191</v>
      </c>
    </row>
    <row r="129" spans="2:6" hidden="1">
      <c r="B129" s="8">
        <v>126</v>
      </c>
      <c r="C129" s="8" t="s">
        <v>353</v>
      </c>
      <c r="D129" s="8" t="s">
        <v>354</v>
      </c>
      <c r="E129" s="39">
        <v>85000</v>
      </c>
      <c r="F129" s="40" t="s">
        <v>191</v>
      </c>
    </row>
    <row r="130" spans="2:6" hidden="1">
      <c r="B130" s="8">
        <v>127</v>
      </c>
      <c r="C130" s="8" t="s">
        <v>355</v>
      </c>
      <c r="D130" s="8" t="s">
        <v>356</v>
      </c>
      <c r="E130" s="39">
        <v>191000</v>
      </c>
      <c r="F130" s="40" t="s">
        <v>191</v>
      </c>
    </row>
    <row r="131" spans="2:6" hidden="1">
      <c r="B131" s="8">
        <v>128</v>
      </c>
      <c r="C131" s="8" t="s">
        <v>357</v>
      </c>
      <c r="D131" s="8" t="s">
        <v>211</v>
      </c>
      <c r="E131" s="39">
        <v>301000</v>
      </c>
      <c r="F131" s="40" t="s">
        <v>191</v>
      </c>
    </row>
    <row r="132" spans="2:6" hidden="1">
      <c r="B132" s="8">
        <v>129</v>
      </c>
      <c r="C132" s="8" t="s">
        <v>357</v>
      </c>
      <c r="D132" s="8" t="s">
        <v>198</v>
      </c>
      <c r="E132" s="39">
        <v>466000</v>
      </c>
      <c r="F132" s="40" t="s">
        <v>191</v>
      </c>
    </row>
    <row r="133" spans="2:6" hidden="1">
      <c r="B133" s="8">
        <v>130</v>
      </c>
      <c r="C133" s="8" t="s">
        <v>358</v>
      </c>
      <c r="D133" s="8" t="s">
        <v>359</v>
      </c>
      <c r="E133" s="39">
        <v>88000</v>
      </c>
      <c r="F133" s="40" t="s">
        <v>191</v>
      </c>
    </row>
    <row r="134" spans="2:6" hidden="1">
      <c r="B134" s="8">
        <v>131</v>
      </c>
      <c r="C134" s="8" t="s">
        <v>360</v>
      </c>
      <c r="D134" s="8" t="s">
        <v>204</v>
      </c>
      <c r="E134" s="39">
        <v>97000</v>
      </c>
      <c r="F134" s="40" t="s">
        <v>191</v>
      </c>
    </row>
    <row r="135" spans="2:6" hidden="1">
      <c r="B135" s="8">
        <v>132</v>
      </c>
      <c r="C135" s="8" t="s">
        <v>360</v>
      </c>
      <c r="D135" s="8" t="s">
        <v>319</v>
      </c>
      <c r="E135" s="39">
        <v>182000</v>
      </c>
      <c r="F135" s="40" t="s">
        <v>191</v>
      </c>
    </row>
    <row r="136" spans="2:6" hidden="1">
      <c r="B136" s="8">
        <v>133</v>
      </c>
      <c r="C136" s="8" t="s">
        <v>361</v>
      </c>
      <c r="D136" s="8" t="s">
        <v>362</v>
      </c>
      <c r="E136" s="39">
        <v>185000</v>
      </c>
      <c r="F136" s="40" t="s">
        <v>191</v>
      </c>
    </row>
    <row r="137" spans="2:6" hidden="1">
      <c r="B137" s="8">
        <v>134</v>
      </c>
      <c r="C137" s="8" t="s">
        <v>363</v>
      </c>
      <c r="D137" s="8" t="s">
        <v>364</v>
      </c>
      <c r="E137" s="39">
        <v>168000</v>
      </c>
      <c r="F137" s="40" t="s">
        <v>191</v>
      </c>
    </row>
    <row r="138" spans="2:6" hidden="1">
      <c r="B138" s="8">
        <v>135</v>
      </c>
      <c r="C138" s="8" t="s">
        <v>365</v>
      </c>
      <c r="D138" s="8" t="s">
        <v>306</v>
      </c>
      <c r="E138" s="39">
        <v>83000</v>
      </c>
      <c r="F138" s="40" t="s">
        <v>191</v>
      </c>
    </row>
    <row r="139" spans="2:6" hidden="1">
      <c r="B139" s="8">
        <v>136</v>
      </c>
      <c r="C139" s="8" t="s">
        <v>366</v>
      </c>
      <c r="D139" s="8" t="s">
        <v>211</v>
      </c>
      <c r="E139" s="39">
        <v>86000</v>
      </c>
      <c r="F139" s="40" t="s">
        <v>191</v>
      </c>
    </row>
    <row r="140" spans="2:6" hidden="1">
      <c r="B140" s="8">
        <v>137</v>
      </c>
      <c r="C140" s="8" t="s">
        <v>366</v>
      </c>
      <c r="D140" s="8" t="s">
        <v>367</v>
      </c>
      <c r="E140" s="39">
        <v>339000</v>
      </c>
      <c r="F140" s="40" t="s">
        <v>191</v>
      </c>
    </row>
    <row r="141" spans="2:6" hidden="1">
      <c r="B141" s="8">
        <v>138</v>
      </c>
      <c r="C141" s="8" t="s">
        <v>368</v>
      </c>
      <c r="D141" s="8" t="s">
        <v>319</v>
      </c>
      <c r="E141" s="39">
        <v>182000</v>
      </c>
      <c r="F141" s="40" t="s">
        <v>191</v>
      </c>
    </row>
    <row r="142" spans="2:6" hidden="1">
      <c r="B142" s="8">
        <v>139</v>
      </c>
      <c r="C142" s="8" t="s">
        <v>369</v>
      </c>
      <c r="D142" s="8" t="s">
        <v>370</v>
      </c>
      <c r="E142" s="39">
        <v>329000</v>
      </c>
      <c r="F142" s="40" t="s">
        <v>191</v>
      </c>
    </row>
    <row r="143" spans="2:6" hidden="1">
      <c r="B143" s="8">
        <v>140</v>
      </c>
      <c r="C143" s="8" t="s">
        <v>369</v>
      </c>
      <c r="D143" s="8" t="s">
        <v>371</v>
      </c>
      <c r="E143" s="39">
        <v>90000</v>
      </c>
      <c r="F143" s="40" t="s">
        <v>191</v>
      </c>
    </row>
    <row r="144" spans="2:6" hidden="1">
      <c r="B144" s="8">
        <v>141</v>
      </c>
      <c r="C144" s="8" t="s">
        <v>369</v>
      </c>
      <c r="D144" s="8" t="s">
        <v>372</v>
      </c>
      <c r="E144" s="39">
        <v>80000</v>
      </c>
      <c r="F144" s="40" t="s">
        <v>191</v>
      </c>
    </row>
    <row r="145" spans="2:6" hidden="1">
      <c r="B145" s="8">
        <v>142</v>
      </c>
      <c r="C145" s="8" t="s">
        <v>373</v>
      </c>
      <c r="D145" s="8" t="s">
        <v>374</v>
      </c>
      <c r="E145" s="39">
        <v>381000</v>
      </c>
      <c r="F145" s="40" t="s">
        <v>191</v>
      </c>
    </row>
    <row r="146" spans="2:6" hidden="1">
      <c r="B146" s="8">
        <v>143</v>
      </c>
      <c r="C146" s="8" t="s">
        <v>373</v>
      </c>
      <c r="D146" s="8" t="s">
        <v>375</v>
      </c>
      <c r="E146" s="39">
        <v>286000</v>
      </c>
      <c r="F146" s="40" t="s">
        <v>191</v>
      </c>
    </row>
    <row r="147" spans="2:6" hidden="1">
      <c r="B147" s="8">
        <v>144</v>
      </c>
      <c r="C147" s="8" t="s">
        <v>376</v>
      </c>
      <c r="D147" s="8" t="s">
        <v>377</v>
      </c>
      <c r="E147" s="39">
        <v>55000</v>
      </c>
      <c r="F147" s="40" t="s">
        <v>191</v>
      </c>
    </row>
    <row r="148" spans="2:6" hidden="1">
      <c r="B148" s="8">
        <v>145</v>
      </c>
      <c r="C148" s="8" t="s">
        <v>378</v>
      </c>
      <c r="D148" s="8" t="s">
        <v>379</v>
      </c>
      <c r="E148" s="39">
        <v>127000</v>
      </c>
      <c r="F148" s="40" t="s">
        <v>191</v>
      </c>
    </row>
    <row r="149" spans="2:6" hidden="1">
      <c r="B149" s="8">
        <v>146</v>
      </c>
      <c r="C149" s="8" t="s">
        <v>380</v>
      </c>
      <c r="D149" s="8" t="s">
        <v>247</v>
      </c>
      <c r="E149" s="39">
        <v>96000</v>
      </c>
      <c r="F149" s="40" t="s">
        <v>191</v>
      </c>
    </row>
    <row r="150" spans="2:6" hidden="1">
      <c r="B150" s="8">
        <v>147</v>
      </c>
      <c r="C150" s="8" t="s">
        <v>380</v>
      </c>
      <c r="D150" s="8" t="s">
        <v>381</v>
      </c>
      <c r="E150" s="39">
        <v>186000</v>
      </c>
      <c r="F150" s="40" t="s">
        <v>191</v>
      </c>
    </row>
    <row r="151" spans="2:6" hidden="1">
      <c r="B151" s="8">
        <v>148</v>
      </c>
      <c r="C151" s="8" t="s">
        <v>380</v>
      </c>
      <c r="D151" s="8" t="s">
        <v>317</v>
      </c>
      <c r="E151" s="39">
        <v>153000</v>
      </c>
      <c r="F151" s="40" t="s">
        <v>191</v>
      </c>
    </row>
    <row r="152" spans="2:6" hidden="1">
      <c r="B152" s="8">
        <v>149</v>
      </c>
      <c r="C152" s="8" t="s">
        <v>382</v>
      </c>
      <c r="D152" s="8" t="s">
        <v>383</v>
      </c>
      <c r="E152" s="39">
        <v>286000</v>
      </c>
      <c r="F152" s="40" t="s">
        <v>191</v>
      </c>
    </row>
    <row r="153" spans="2:6" hidden="1">
      <c r="B153" s="8">
        <v>150</v>
      </c>
      <c r="C153" s="8" t="s">
        <v>382</v>
      </c>
      <c r="D153" s="8" t="s">
        <v>384</v>
      </c>
      <c r="E153" s="39">
        <v>241000</v>
      </c>
      <c r="F153" s="40" t="s">
        <v>191</v>
      </c>
    </row>
    <row r="154" spans="2:6" hidden="1">
      <c r="B154" s="8">
        <v>151</v>
      </c>
      <c r="C154" s="8" t="s">
        <v>385</v>
      </c>
      <c r="D154" s="8" t="s">
        <v>386</v>
      </c>
      <c r="E154" s="39">
        <v>143000</v>
      </c>
      <c r="F154" s="40" t="s">
        <v>191</v>
      </c>
    </row>
    <row r="155" spans="2:6" hidden="1">
      <c r="B155" s="8">
        <v>152</v>
      </c>
      <c r="C155" s="8" t="s">
        <v>387</v>
      </c>
      <c r="D155" s="8" t="s">
        <v>388</v>
      </c>
      <c r="E155" s="39">
        <v>108000</v>
      </c>
      <c r="F155" s="40" t="s">
        <v>191</v>
      </c>
    </row>
    <row r="156" spans="2:6" hidden="1">
      <c r="B156" s="8">
        <v>153</v>
      </c>
      <c r="C156" s="8" t="s">
        <v>389</v>
      </c>
      <c r="D156" s="8" t="s">
        <v>390</v>
      </c>
      <c r="E156" s="39">
        <v>186000</v>
      </c>
      <c r="F156" s="40" t="s">
        <v>191</v>
      </c>
    </row>
    <row r="157" spans="2:6" hidden="1">
      <c r="B157" s="8">
        <v>154</v>
      </c>
      <c r="C157" s="8" t="s">
        <v>391</v>
      </c>
      <c r="D157" s="8" t="s">
        <v>272</v>
      </c>
      <c r="E157" s="39">
        <v>1479000</v>
      </c>
      <c r="F157" s="40" t="s">
        <v>191</v>
      </c>
    </row>
    <row r="158" spans="2:6" hidden="1">
      <c r="B158" s="8">
        <v>155</v>
      </c>
      <c r="C158" s="8" t="s">
        <v>391</v>
      </c>
      <c r="D158" s="8" t="s">
        <v>211</v>
      </c>
      <c r="E158" s="39">
        <v>173000</v>
      </c>
      <c r="F158" s="40" t="s">
        <v>191</v>
      </c>
    </row>
    <row r="159" spans="2:6" hidden="1">
      <c r="B159" s="8">
        <v>156</v>
      </c>
      <c r="C159" s="8" t="s">
        <v>391</v>
      </c>
      <c r="D159" s="8" t="s">
        <v>204</v>
      </c>
      <c r="E159" s="39">
        <v>196000</v>
      </c>
      <c r="F159" s="40" t="s">
        <v>191</v>
      </c>
    </row>
    <row r="160" spans="2:6" hidden="1">
      <c r="B160" s="8">
        <v>157</v>
      </c>
      <c r="C160" s="8" t="s">
        <v>391</v>
      </c>
      <c r="D160" s="8" t="s">
        <v>392</v>
      </c>
      <c r="E160" s="39">
        <v>131000</v>
      </c>
      <c r="F160" s="40" t="s">
        <v>191</v>
      </c>
    </row>
    <row r="161" spans="2:6" hidden="1">
      <c r="B161" s="8">
        <v>158</v>
      </c>
      <c r="C161" s="8" t="s">
        <v>393</v>
      </c>
      <c r="D161" s="8" t="s">
        <v>394</v>
      </c>
      <c r="E161" s="39">
        <v>2402000</v>
      </c>
      <c r="F161" s="40" t="s">
        <v>191</v>
      </c>
    </row>
    <row r="162" spans="2:6" hidden="1">
      <c r="B162" s="8">
        <v>159</v>
      </c>
      <c r="C162" s="8" t="s">
        <v>395</v>
      </c>
      <c r="D162" s="8" t="s">
        <v>396</v>
      </c>
      <c r="E162" s="39">
        <v>86000</v>
      </c>
      <c r="F162" s="40" t="s">
        <v>191</v>
      </c>
    </row>
    <row r="163" spans="2:6" hidden="1">
      <c r="B163" s="8">
        <v>160</v>
      </c>
      <c r="C163" s="8" t="s">
        <v>397</v>
      </c>
      <c r="D163" s="8" t="s">
        <v>398</v>
      </c>
      <c r="E163" s="39">
        <v>114000</v>
      </c>
      <c r="F163" s="40" t="s">
        <v>191</v>
      </c>
    </row>
    <row r="164" spans="2:6" hidden="1">
      <c r="B164" s="8">
        <v>161</v>
      </c>
      <c r="C164" s="8" t="s">
        <v>399</v>
      </c>
      <c r="D164" s="8" t="s">
        <v>400</v>
      </c>
      <c r="E164" s="39">
        <v>496000</v>
      </c>
      <c r="F164" s="40" t="s">
        <v>191</v>
      </c>
    </row>
    <row r="165" spans="2:6" hidden="1">
      <c r="B165" s="8">
        <v>162</v>
      </c>
      <c r="C165" s="8" t="s">
        <v>399</v>
      </c>
      <c r="D165" s="8" t="s">
        <v>401</v>
      </c>
      <c r="E165" s="39">
        <v>440000</v>
      </c>
      <c r="F165" s="40" t="s">
        <v>191</v>
      </c>
    </row>
    <row r="166" spans="2:6" hidden="1">
      <c r="B166" s="8">
        <v>163</v>
      </c>
      <c r="C166" s="8" t="s">
        <v>402</v>
      </c>
      <c r="D166" s="8" t="s">
        <v>403</v>
      </c>
      <c r="E166" s="39">
        <v>309000</v>
      </c>
      <c r="F166" s="40" t="s">
        <v>191</v>
      </c>
    </row>
    <row r="167" spans="2:6" hidden="1">
      <c r="B167" s="8">
        <v>164</v>
      </c>
      <c r="C167" s="8" t="s">
        <v>402</v>
      </c>
      <c r="D167" s="8" t="s">
        <v>404</v>
      </c>
      <c r="E167" s="39">
        <v>105000</v>
      </c>
      <c r="F167" s="40" t="s">
        <v>191</v>
      </c>
    </row>
    <row r="168" spans="2:6" hidden="1">
      <c r="B168" s="8">
        <v>165</v>
      </c>
      <c r="C168" s="8" t="s">
        <v>402</v>
      </c>
      <c r="D168" s="8" t="s">
        <v>405</v>
      </c>
      <c r="E168" s="39">
        <v>123000</v>
      </c>
      <c r="F168" s="40" t="s">
        <v>191</v>
      </c>
    </row>
    <row r="169" spans="2:6" hidden="1">
      <c r="B169" s="8">
        <v>166</v>
      </c>
      <c r="C169" s="8" t="s">
        <v>406</v>
      </c>
      <c r="D169" s="8" t="s">
        <v>211</v>
      </c>
      <c r="E169" s="39">
        <v>473000</v>
      </c>
      <c r="F169" s="40" t="s">
        <v>191</v>
      </c>
    </row>
    <row r="170" spans="2:6" hidden="1">
      <c r="B170" s="8">
        <v>167</v>
      </c>
      <c r="C170" s="8" t="s">
        <v>407</v>
      </c>
      <c r="D170" s="8" t="s">
        <v>408</v>
      </c>
      <c r="E170" s="39">
        <v>458000</v>
      </c>
      <c r="F170" s="40" t="s">
        <v>191</v>
      </c>
    </row>
    <row r="171" spans="2:6" hidden="1">
      <c r="B171" s="8">
        <v>168</v>
      </c>
      <c r="C171" s="8" t="s">
        <v>409</v>
      </c>
      <c r="D171" s="8" t="s">
        <v>410</v>
      </c>
      <c r="E171" s="39">
        <v>55000</v>
      </c>
      <c r="F171" s="40" t="s">
        <v>191</v>
      </c>
    </row>
    <row r="172" spans="2:6" hidden="1">
      <c r="B172" s="8">
        <v>169</v>
      </c>
      <c r="C172" s="8" t="s">
        <v>409</v>
      </c>
      <c r="D172" s="8" t="s">
        <v>411</v>
      </c>
      <c r="E172" s="39">
        <v>369000</v>
      </c>
      <c r="F172" s="40" t="s">
        <v>191</v>
      </c>
    </row>
    <row r="173" spans="2:6" hidden="1">
      <c r="B173" s="8">
        <v>170</v>
      </c>
      <c r="C173" s="8" t="s">
        <v>412</v>
      </c>
      <c r="D173" s="8" t="s">
        <v>413</v>
      </c>
      <c r="E173" s="39">
        <v>88000</v>
      </c>
      <c r="F173" s="40" t="s">
        <v>191</v>
      </c>
    </row>
    <row r="174" spans="2:6" hidden="1">
      <c r="B174" s="8">
        <v>171</v>
      </c>
      <c r="C174" s="8" t="s">
        <v>414</v>
      </c>
      <c r="D174" s="8" t="s">
        <v>415</v>
      </c>
      <c r="E174" s="39">
        <v>169000</v>
      </c>
      <c r="F174" s="40" t="s">
        <v>191</v>
      </c>
    </row>
    <row r="175" spans="2:6" hidden="1">
      <c r="B175" s="8">
        <v>172</v>
      </c>
      <c r="C175" s="8" t="s">
        <v>416</v>
      </c>
      <c r="D175" s="8" t="s">
        <v>417</v>
      </c>
      <c r="E175" s="39">
        <v>681000</v>
      </c>
      <c r="F175" s="40" t="s">
        <v>191</v>
      </c>
    </row>
    <row r="176" spans="2:6" hidden="1">
      <c r="B176" s="8">
        <v>173</v>
      </c>
      <c r="C176" s="8" t="s">
        <v>418</v>
      </c>
      <c r="D176" s="8" t="s">
        <v>211</v>
      </c>
      <c r="E176" s="39">
        <v>293000</v>
      </c>
      <c r="F176" s="40" t="s">
        <v>191</v>
      </c>
    </row>
    <row r="177" spans="2:6" hidden="1">
      <c r="B177" s="8">
        <v>174</v>
      </c>
      <c r="C177" s="8" t="s">
        <v>418</v>
      </c>
      <c r="D177" s="8" t="s">
        <v>419</v>
      </c>
      <c r="E177" s="39">
        <v>66000</v>
      </c>
      <c r="F177" s="40" t="s">
        <v>191</v>
      </c>
    </row>
    <row r="178" spans="2:6" hidden="1">
      <c r="B178" s="8">
        <v>175</v>
      </c>
      <c r="C178" s="8" t="s">
        <v>420</v>
      </c>
      <c r="D178" s="8" t="s">
        <v>211</v>
      </c>
      <c r="E178" s="39">
        <v>61000</v>
      </c>
      <c r="F178" s="40" t="s">
        <v>191</v>
      </c>
    </row>
    <row r="179" spans="2:6" hidden="1">
      <c r="B179" s="8">
        <v>176</v>
      </c>
      <c r="C179" s="8" t="s">
        <v>420</v>
      </c>
      <c r="D179" s="8" t="s">
        <v>305</v>
      </c>
      <c r="E179" s="39">
        <v>176000</v>
      </c>
      <c r="F179" s="40" t="s">
        <v>191</v>
      </c>
    </row>
    <row r="180" spans="2:6" hidden="1">
      <c r="B180" s="8">
        <v>177</v>
      </c>
      <c r="C180" s="8" t="s">
        <v>420</v>
      </c>
      <c r="D180" s="8" t="s">
        <v>421</v>
      </c>
      <c r="E180" s="39">
        <v>87000</v>
      </c>
      <c r="F180" s="40" t="s">
        <v>191</v>
      </c>
    </row>
    <row r="181" spans="2:6" hidden="1">
      <c r="B181" s="8">
        <v>178</v>
      </c>
      <c r="C181" s="8" t="s">
        <v>422</v>
      </c>
      <c r="D181" s="8" t="s">
        <v>423</v>
      </c>
      <c r="E181" s="39">
        <v>278000</v>
      </c>
      <c r="F181" s="40" t="s">
        <v>191</v>
      </c>
    </row>
    <row r="182" spans="2:6" hidden="1">
      <c r="B182" s="8">
        <v>179</v>
      </c>
      <c r="C182" s="8" t="s">
        <v>424</v>
      </c>
      <c r="D182" s="8" t="s">
        <v>198</v>
      </c>
      <c r="E182" s="39">
        <v>294000</v>
      </c>
      <c r="F182" s="40" t="s">
        <v>191</v>
      </c>
    </row>
    <row r="183" spans="2:6" hidden="1">
      <c r="B183" s="8">
        <v>180</v>
      </c>
      <c r="C183" s="8" t="s">
        <v>424</v>
      </c>
      <c r="D183" s="8" t="s">
        <v>211</v>
      </c>
      <c r="E183" s="39">
        <v>55000</v>
      </c>
      <c r="F183" s="40" t="s">
        <v>191</v>
      </c>
    </row>
    <row r="184" spans="2:6" hidden="1">
      <c r="B184" s="8">
        <v>181</v>
      </c>
      <c r="C184" s="8" t="s">
        <v>425</v>
      </c>
      <c r="D184" s="8" t="s">
        <v>319</v>
      </c>
      <c r="E184" s="39">
        <v>55000</v>
      </c>
      <c r="F184" s="40" t="s">
        <v>191</v>
      </c>
    </row>
    <row r="185" spans="2:6" hidden="1">
      <c r="B185" s="8">
        <v>182</v>
      </c>
      <c r="C185" s="8" t="s">
        <v>425</v>
      </c>
      <c r="D185" s="8" t="s">
        <v>426</v>
      </c>
      <c r="E185" s="39">
        <v>259000</v>
      </c>
      <c r="F185" s="40" t="s">
        <v>191</v>
      </c>
    </row>
    <row r="186" spans="2:6" hidden="1">
      <c r="B186" s="8">
        <v>183</v>
      </c>
      <c r="C186" s="8" t="s">
        <v>427</v>
      </c>
      <c r="D186" s="8" t="s">
        <v>337</v>
      </c>
      <c r="E186" s="39">
        <v>84000</v>
      </c>
      <c r="F186" s="40" t="s">
        <v>191</v>
      </c>
    </row>
    <row r="187" spans="2:6" hidden="1">
      <c r="B187" s="8">
        <v>184</v>
      </c>
      <c r="C187" s="8" t="s">
        <v>428</v>
      </c>
      <c r="D187" s="8" t="s">
        <v>217</v>
      </c>
      <c r="E187" s="39">
        <v>455000</v>
      </c>
      <c r="F187" s="40" t="s">
        <v>191</v>
      </c>
    </row>
    <row r="188" spans="2:6" hidden="1">
      <c r="B188" s="8">
        <v>185</v>
      </c>
      <c r="C188" s="8" t="s">
        <v>429</v>
      </c>
      <c r="D188" s="8" t="s">
        <v>430</v>
      </c>
      <c r="E188" s="39">
        <v>288000</v>
      </c>
      <c r="F188" s="40" t="s">
        <v>191</v>
      </c>
    </row>
    <row r="189" spans="2:6" hidden="1">
      <c r="B189" s="8">
        <v>186</v>
      </c>
      <c r="C189" s="8" t="s">
        <v>431</v>
      </c>
      <c r="D189" s="8" t="s">
        <v>432</v>
      </c>
      <c r="E189" s="39">
        <v>206000</v>
      </c>
      <c r="F189" s="40" t="s">
        <v>191</v>
      </c>
    </row>
    <row r="190" spans="2:6" hidden="1">
      <c r="B190" s="8">
        <v>187</v>
      </c>
      <c r="C190" s="8" t="s">
        <v>433</v>
      </c>
      <c r="D190" s="8" t="s">
        <v>434</v>
      </c>
      <c r="E190" s="39">
        <v>132000</v>
      </c>
      <c r="F190" s="40" t="s">
        <v>191</v>
      </c>
    </row>
    <row r="191" spans="2:6" hidden="1">
      <c r="B191" s="8">
        <v>188</v>
      </c>
      <c r="C191" s="8" t="s">
        <v>433</v>
      </c>
      <c r="D191" s="8" t="s">
        <v>435</v>
      </c>
      <c r="E191" s="39">
        <v>348000</v>
      </c>
      <c r="F191" s="40" t="s">
        <v>191</v>
      </c>
    </row>
    <row r="192" spans="2:6" hidden="1">
      <c r="B192" s="8">
        <v>189</v>
      </c>
      <c r="C192" s="8" t="s">
        <v>436</v>
      </c>
      <c r="D192" s="8" t="s">
        <v>437</v>
      </c>
      <c r="E192" s="39">
        <v>402000</v>
      </c>
      <c r="F192" s="40" t="s">
        <v>191</v>
      </c>
    </row>
    <row r="193" spans="2:6" hidden="1">
      <c r="B193" s="8">
        <v>190</v>
      </c>
      <c r="C193" s="8" t="s">
        <v>438</v>
      </c>
      <c r="D193" s="8" t="s">
        <v>439</v>
      </c>
      <c r="E193" s="39">
        <v>466000</v>
      </c>
      <c r="F193" s="40" t="s">
        <v>191</v>
      </c>
    </row>
    <row r="194" spans="2:6" hidden="1">
      <c r="B194" s="8">
        <v>191</v>
      </c>
      <c r="C194" s="8" t="s">
        <v>440</v>
      </c>
      <c r="D194" s="8" t="s">
        <v>441</v>
      </c>
      <c r="E194" s="39">
        <v>346000</v>
      </c>
      <c r="F194" s="40" t="s">
        <v>191</v>
      </c>
    </row>
    <row r="195" spans="2:6" hidden="1">
      <c r="B195" s="8">
        <v>192</v>
      </c>
      <c r="C195" s="8" t="s">
        <v>442</v>
      </c>
      <c r="D195" s="8" t="s">
        <v>443</v>
      </c>
      <c r="E195" s="39">
        <v>96000</v>
      </c>
      <c r="F195" s="40" t="s">
        <v>191</v>
      </c>
    </row>
    <row r="196" spans="2:6" hidden="1">
      <c r="B196" s="8">
        <v>193</v>
      </c>
      <c r="C196" s="8" t="s">
        <v>444</v>
      </c>
      <c r="D196" s="8" t="s">
        <v>445</v>
      </c>
      <c r="E196" s="39">
        <v>100000</v>
      </c>
      <c r="F196" s="40" t="s">
        <v>191</v>
      </c>
    </row>
    <row r="197" spans="2:6" hidden="1">
      <c r="B197" s="8">
        <v>194</v>
      </c>
      <c r="C197" s="8" t="s">
        <v>446</v>
      </c>
      <c r="D197" s="8" t="s">
        <v>447</v>
      </c>
      <c r="E197" s="39">
        <v>182000</v>
      </c>
      <c r="F197" s="40" t="s">
        <v>191</v>
      </c>
    </row>
    <row r="198" spans="2:6" hidden="1">
      <c r="B198" s="8">
        <v>195</v>
      </c>
      <c r="C198" s="8" t="s">
        <v>446</v>
      </c>
      <c r="D198" s="8" t="s">
        <v>339</v>
      </c>
      <c r="E198" s="39">
        <v>115000</v>
      </c>
      <c r="F198" s="40" t="s">
        <v>191</v>
      </c>
    </row>
    <row r="199" spans="2:6" hidden="1">
      <c r="B199" s="8">
        <v>196</v>
      </c>
      <c r="C199" s="8" t="s">
        <v>448</v>
      </c>
      <c r="D199" s="8" t="s">
        <v>449</v>
      </c>
      <c r="E199" s="39">
        <v>134000</v>
      </c>
      <c r="F199" s="40" t="s">
        <v>191</v>
      </c>
    </row>
    <row r="200" spans="2:6" hidden="1">
      <c r="B200" s="8">
        <v>197</v>
      </c>
      <c r="C200" s="8" t="s">
        <v>448</v>
      </c>
      <c r="D200" s="8" t="s">
        <v>198</v>
      </c>
      <c r="E200" s="39">
        <v>593000</v>
      </c>
      <c r="F200" s="40" t="s">
        <v>191</v>
      </c>
    </row>
    <row r="201" spans="2:6" hidden="1">
      <c r="B201" s="8">
        <v>198</v>
      </c>
      <c r="C201" s="8" t="s">
        <v>450</v>
      </c>
      <c r="D201" s="8" t="s">
        <v>451</v>
      </c>
      <c r="E201" s="39">
        <v>55000</v>
      </c>
      <c r="F201" s="40" t="s">
        <v>191</v>
      </c>
    </row>
    <row r="202" spans="2:6" hidden="1">
      <c r="B202" s="8">
        <v>199</v>
      </c>
      <c r="C202" s="8" t="s">
        <v>450</v>
      </c>
      <c r="D202" s="8" t="s">
        <v>452</v>
      </c>
      <c r="E202" s="39">
        <v>633000</v>
      </c>
      <c r="F202" s="40" t="s">
        <v>191</v>
      </c>
    </row>
    <row r="203" spans="2:6" hidden="1">
      <c r="B203" s="8">
        <v>200</v>
      </c>
      <c r="C203" s="8" t="s">
        <v>450</v>
      </c>
      <c r="D203" s="8" t="s">
        <v>453</v>
      </c>
      <c r="E203" s="39">
        <v>132000</v>
      </c>
      <c r="F203" s="40" t="s">
        <v>191</v>
      </c>
    </row>
    <row r="204" spans="2:6" hidden="1">
      <c r="B204" s="8">
        <v>201</v>
      </c>
      <c r="C204" s="8" t="s">
        <v>450</v>
      </c>
      <c r="D204" s="8" t="s">
        <v>454</v>
      </c>
      <c r="E204" s="39">
        <v>61000</v>
      </c>
      <c r="F204" s="40" t="s">
        <v>191</v>
      </c>
    </row>
    <row r="205" spans="2:6" hidden="1">
      <c r="B205" s="8">
        <v>202</v>
      </c>
      <c r="C205" s="8" t="s">
        <v>455</v>
      </c>
      <c r="D205" s="8" t="s">
        <v>456</v>
      </c>
      <c r="E205" s="39">
        <v>1240000</v>
      </c>
      <c r="F205" s="40" t="s">
        <v>191</v>
      </c>
    </row>
    <row r="206" spans="2:6" hidden="1">
      <c r="B206" s="8">
        <v>203</v>
      </c>
      <c r="C206" s="8" t="s">
        <v>457</v>
      </c>
      <c r="D206" s="8" t="s">
        <v>317</v>
      </c>
      <c r="E206" s="39">
        <v>231000</v>
      </c>
      <c r="F206" s="40" t="s">
        <v>191</v>
      </c>
    </row>
    <row r="207" spans="2:6" hidden="1">
      <c r="B207" s="8">
        <v>204</v>
      </c>
      <c r="C207" s="8" t="s">
        <v>458</v>
      </c>
      <c r="D207" s="8" t="s">
        <v>211</v>
      </c>
      <c r="E207" s="39">
        <v>88000</v>
      </c>
      <c r="F207" s="40" t="s">
        <v>191</v>
      </c>
    </row>
    <row r="208" spans="2:6" hidden="1">
      <c r="B208" s="8">
        <v>205</v>
      </c>
      <c r="C208" s="8" t="s">
        <v>459</v>
      </c>
      <c r="D208" s="8" t="s">
        <v>236</v>
      </c>
      <c r="E208" s="39">
        <v>129000</v>
      </c>
      <c r="F208" s="40" t="s">
        <v>191</v>
      </c>
    </row>
    <row r="209" spans="2:6" hidden="1">
      <c r="B209" s="8">
        <v>206</v>
      </c>
      <c r="C209" s="8" t="s">
        <v>460</v>
      </c>
      <c r="D209" s="8" t="s">
        <v>204</v>
      </c>
      <c r="E209" s="39">
        <v>122000</v>
      </c>
      <c r="F209" s="40" t="s">
        <v>191</v>
      </c>
    </row>
    <row r="210" spans="2:6" hidden="1">
      <c r="B210" s="8">
        <v>207</v>
      </c>
      <c r="C210" s="8" t="s">
        <v>461</v>
      </c>
      <c r="D210" s="8" t="s">
        <v>462</v>
      </c>
      <c r="E210" s="39">
        <v>168000</v>
      </c>
      <c r="F210" s="40" t="s">
        <v>191</v>
      </c>
    </row>
    <row r="211" spans="2:6" hidden="1">
      <c r="B211" s="8">
        <v>208</v>
      </c>
      <c r="C211" s="8" t="s">
        <v>461</v>
      </c>
      <c r="D211" s="8" t="s">
        <v>463</v>
      </c>
      <c r="E211" s="39">
        <v>175000</v>
      </c>
      <c r="F211" s="40" t="s">
        <v>191</v>
      </c>
    </row>
    <row r="212" spans="2:6" hidden="1">
      <c r="B212" s="8">
        <v>209</v>
      </c>
      <c r="C212" s="8" t="s">
        <v>464</v>
      </c>
      <c r="D212" s="8" t="s">
        <v>211</v>
      </c>
      <c r="E212" s="39">
        <v>86000</v>
      </c>
      <c r="F212" s="40" t="s">
        <v>191</v>
      </c>
    </row>
    <row r="213" spans="2:6" hidden="1">
      <c r="B213" s="8">
        <v>210</v>
      </c>
      <c r="C213" s="8" t="s">
        <v>465</v>
      </c>
      <c r="D213" s="8" t="s">
        <v>398</v>
      </c>
      <c r="E213" s="39">
        <v>114000</v>
      </c>
      <c r="F213" s="40" t="s">
        <v>191</v>
      </c>
    </row>
    <row r="214" spans="2:6" hidden="1">
      <c r="B214" s="8">
        <v>211</v>
      </c>
      <c r="C214" s="8" t="s">
        <v>465</v>
      </c>
      <c r="D214" s="8" t="s">
        <v>319</v>
      </c>
      <c r="E214" s="39">
        <v>292000</v>
      </c>
      <c r="F214" s="40" t="s">
        <v>191</v>
      </c>
    </row>
    <row r="215" spans="2:6" hidden="1">
      <c r="B215" s="8">
        <v>212</v>
      </c>
      <c r="C215" s="8" t="s">
        <v>465</v>
      </c>
      <c r="D215" s="8" t="s">
        <v>300</v>
      </c>
      <c r="E215" s="39">
        <v>791000</v>
      </c>
      <c r="F215" s="40" t="s">
        <v>191</v>
      </c>
    </row>
    <row r="216" spans="2:6" hidden="1">
      <c r="B216" s="8">
        <v>213</v>
      </c>
      <c r="C216" s="8" t="s">
        <v>466</v>
      </c>
      <c r="D216" s="8" t="s">
        <v>319</v>
      </c>
      <c r="E216" s="39">
        <v>204000</v>
      </c>
      <c r="F216" s="40" t="s">
        <v>191</v>
      </c>
    </row>
    <row r="217" spans="2:6" hidden="1">
      <c r="B217" s="8">
        <v>214</v>
      </c>
      <c r="C217" s="8" t="s">
        <v>467</v>
      </c>
      <c r="D217" s="8" t="s">
        <v>468</v>
      </c>
      <c r="E217" s="39">
        <v>80000</v>
      </c>
      <c r="F217" s="40" t="s">
        <v>191</v>
      </c>
    </row>
    <row r="218" spans="2:6" hidden="1">
      <c r="B218" s="8">
        <v>215</v>
      </c>
      <c r="C218" s="8" t="s">
        <v>467</v>
      </c>
      <c r="D218" s="8" t="s">
        <v>469</v>
      </c>
      <c r="E218" s="39">
        <v>296000</v>
      </c>
      <c r="F218" s="40" t="s">
        <v>191</v>
      </c>
    </row>
    <row r="219" spans="2:6" hidden="1">
      <c r="B219" s="8">
        <v>216</v>
      </c>
      <c r="C219" s="8" t="s">
        <v>470</v>
      </c>
      <c r="D219" s="8" t="s">
        <v>211</v>
      </c>
      <c r="E219" s="39">
        <v>302000</v>
      </c>
      <c r="F219" s="40" t="s">
        <v>191</v>
      </c>
    </row>
    <row r="220" spans="2:6" hidden="1">
      <c r="B220" s="8">
        <v>217</v>
      </c>
      <c r="C220" s="8" t="s">
        <v>471</v>
      </c>
      <c r="D220" s="8" t="s">
        <v>472</v>
      </c>
      <c r="E220" s="39">
        <v>129000</v>
      </c>
      <c r="F220" s="40" t="s">
        <v>191</v>
      </c>
    </row>
    <row r="221" spans="2:6" hidden="1">
      <c r="B221" s="8">
        <v>218</v>
      </c>
      <c r="C221" s="8" t="s">
        <v>473</v>
      </c>
      <c r="D221" s="8" t="s">
        <v>474</v>
      </c>
      <c r="E221" s="39">
        <v>177000</v>
      </c>
      <c r="F221" s="40" t="s">
        <v>191</v>
      </c>
    </row>
    <row r="222" spans="2:6" hidden="1">
      <c r="B222" s="8">
        <v>219</v>
      </c>
      <c r="C222" s="8" t="s">
        <v>473</v>
      </c>
      <c r="D222" s="8" t="s">
        <v>475</v>
      </c>
      <c r="E222" s="39">
        <v>200000</v>
      </c>
      <c r="F222" s="40" t="s">
        <v>191</v>
      </c>
    </row>
    <row r="223" spans="2:6" hidden="1">
      <c r="B223" s="8">
        <v>220</v>
      </c>
      <c r="C223" s="8" t="s">
        <v>473</v>
      </c>
      <c r="D223" s="8" t="s">
        <v>476</v>
      </c>
      <c r="E223" s="39">
        <v>148000</v>
      </c>
      <c r="F223" s="40" t="s">
        <v>191</v>
      </c>
    </row>
    <row r="224" spans="2:6" hidden="1">
      <c r="B224" s="8">
        <v>221</v>
      </c>
      <c r="C224" s="8" t="s">
        <v>477</v>
      </c>
      <c r="D224" s="8" t="s">
        <v>217</v>
      </c>
      <c r="E224" s="39">
        <v>1360000</v>
      </c>
      <c r="F224" s="40" t="s">
        <v>191</v>
      </c>
    </row>
    <row r="225" spans="2:6" hidden="1">
      <c r="B225" s="8">
        <v>222</v>
      </c>
      <c r="C225" s="8" t="s">
        <v>478</v>
      </c>
      <c r="D225" s="8" t="s">
        <v>317</v>
      </c>
      <c r="E225" s="39">
        <v>334000</v>
      </c>
      <c r="F225" s="40" t="s">
        <v>191</v>
      </c>
    </row>
    <row r="226" spans="2:6" hidden="1">
      <c r="B226" s="8">
        <v>223</v>
      </c>
      <c r="C226" s="8" t="s">
        <v>478</v>
      </c>
      <c r="D226" s="8" t="s">
        <v>479</v>
      </c>
      <c r="E226" s="39">
        <v>168000</v>
      </c>
      <c r="F226" s="40" t="s">
        <v>191</v>
      </c>
    </row>
    <row r="227" spans="2:6" hidden="1">
      <c r="B227" s="8">
        <v>224</v>
      </c>
      <c r="C227" s="8" t="s">
        <v>478</v>
      </c>
      <c r="D227" s="8" t="s">
        <v>480</v>
      </c>
      <c r="E227" s="39">
        <v>197000</v>
      </c>
      <c r="F227" s="40" t="s">
        <v>191</v>
      </c>
    </row>
    <row r="228" spans="2:6" hidden="1">
      <c r="B228" s="8">
        <v>225</v>
      </c>
      <c r="C228" s="8" t="s">
        <v>481</v>
      </c>
      <c r="D228" s="8" t="s">
        <v>482</v>
      </c>
      <c r="E228" s="39">
        <v>123000</v>
      </c>
      <c r="F228" s="40" t="s">
        <v>191</v>
      </c>
    </row>
    <row r="229" spans="2:6" hidden="1">
      <c r="B229" s="8">
        <v>226</v>
      </c>
      <c r="C229" s="8" t="s">
        <v>483</v>
      </c>
      <c r="D229" s="8" t="s">
        <v>282</v>
      </c>
      <c r="E229" s="39">
        <v>150000</v>
      </c>
      <c r="F229" s="40" t="s">
        <v>191</v>
      </c>
    </row>
    <row r="230" spans="2:6" hidden="1">
      <c r="B230" s="8">
        <v>227</v>
      </c>
      <c r="C230" s="8" t="s">
        <v>484</v>
      </c>
      <c r="D230" s="8" t="s">
        <v>211</v>
      </c>
      <c r="E230" s="39">
        <v>232000</v>
      </c>
      <c r="F230" s="40" t="s">
        <v>191</v>
      </c>
    </row>
    <row r="231" spans="2:6" hidden="1">
      <c r="B231" s="8">
        <v>228</v>
      </c>
      <c r="C231" s="8" t="s">
        <v>485</v>
      </c>
      <c r="D231" s="8" t="s">
        <v>486</v>
      </c>
      <c r="E231" s="39">
        <v>1926000</v>
      </c>
      <c r="F231" s="40" t="s">
        <v>191</v>
      </c>
    </row>
    <row r="232" spans="2:6" hidden="1">
      <c r="B232" s="8">
        <v>229</v>
      </c>
      <c r="C232" s="8" t="s">
        <v>487</v>
      </c>
      <c r="D232" s="8" t="s">
        <v>211</v>
      </c>
      <c r="E232" s="39">
        <v>302000</v>
      </c>
      <c r="F232" s="40" t="s">
        <v>191</v>
      </c>
    </row>
    <row r="233" spans="2:6" hidden="1">
      <c r="B233" s="8">
        <v>230</v>
      </c>
      <c r="C233" s="8" t="s">
        <v>487</v>
      </c>
      <c r="D233" s="8" t="s">
        <v>488</v>
      </c>
      <c r="E233" s="39">
        <v>129000</v>
      </c>
      <c r="F233" s="40" t="s">
        <v>191</v>
      </c>
    </row>
    <row r="234" spans="2:6" hidden="1">
      <c r="B234" s="8">
        <v>231</v>
      </c>
      <c r="C234" s="8" t="s">
        <v>489</v>
      </c>
      <c r="D234" s="8" t="s">
        <v>490</v>
      </c>
      <c r="E234" s="39">
        <v>444000</v>
      </c>
      <c r="F234" s="40" t="s">
        <v>191</v>
      </c>
    </row>
    <row r="235" spans="2:6" hidden="1">
      <c r="B235" s="8">
        <v>232</v>
      </c>
      <c r="C235" s="8" t="s">
        <v>491</v>
      </c>
      <c r="D235" s="8" t="s">
        <v>317</v>
      </c>
      <c r="E235" s="39">
        <v>199000</v>
      </c>
      <c r="F235" s="40" t="s">
        <v>191</v>
      </c>
    </row>
    <row r="236" spans="2:6" hidden="1">
      <c r="B236" s="8">
        <v>233</v>
      </c>
      <c r="C236" s="8" t="s">
        <v>491</v>
      </c>
      <c r="D236" s="8" t="s">
        <v>198</v>
      </c>
      <c r="E236" s="39">
        <v>1466000</v>
      </c>
      <c r="F236" s="40" t="s">
        <v>191</v>
      </c>
    </row>
    <row r="237" spans="2:6" hidden="1">
      <c r="B237" s="8">
        <v>234</v>
      </c>
      <c r="C237" s="8" t="s">
        <v>492</v>
      </c>
      <c r="D237" s="8" t="s">
        <v>493</v>
      </c>
      <c r="E237" s="39">
        <v>334000</v>
      </c>
      <c r="F237" s="40" t="s">
        <v>191</v>
      </c>
    </row>
    <row r="238" spans="2:6" hidden="1">
      <c r="B238" s="8">
        <v>235</v>
      </c>
      <c r="C238" s="8" t="s">
        <v>492</v>
      </c>
      <c r="D238" s="8" t="s">
        <v>339</v>
      </c>
      <c r="E238" s="39">
        <v>154000</v>
      </c>
      <c r="F238" s="40" t="s">
        <v>191</v>
      </c>
    </row>
    <row r="239" spans="2:6" hidden="1">
      <c r="B239" s="8">
        <v>236</v>
      </c>
      <c r="C239" s="8" t="s">
        <v>492</v>
      </c>
      <c r="D239" s="8" t="s">
        <v>494</v>
      </c>
      <c r="E239" s="39">
        <v>216000</v>
      </c>
      <c r="F239" s="40" t="s">
        <v>191</v>
      </c>
    </row>
    <row r="240" spans="2:6" hidden="1">
      <c r="B240" s="8">
        <v>237</v>
      </c>
      <c r="C240" s="8" t="s">
        <v>492</v>
      </c>
      <c r="D240" s="8" t="s">
        <v>453</v>
      </c>
      <c r="E240" s="39">
        <v>126000</v>
      </c>
      <c r="F240" s="40" t="s">
        <v>191</v>
      </c>
    </row>
    <row r="241" spans="2:6" hidden="1">
      <c r="B241" s="8">
        <v>238</v>
      </c>
      <c r="C241" s="8" t="s">
        <v>495</v>
      </c>
      <c r="D241" s="8" t="s">
        <v>496</v>
      </c>
      <c r="E241" s="39">
        <v>311000</v>
      </c>
      <c r="F241" s="40" t="s">
        <v>191</v>
      </c>
    </row>
    <row r="242" spans="2:6" hidden="1">
      <c r="B242" s="8">
        <v>239</v>
      </c>
      <c r="C242" s="8" t="s">
        <v>495</v>
      </c>
      <c r="D242" s="8" t="s">
        <v>217</v>
      </c>
      <c r="E242" s="39">
        <v>459000</v>
      </c>
      <c r="F242" s="40" t="s">
        <v>191</v>
      </c>
    </row>
    <row r="243" spans="2:6" hidden="1">
      <c r="B243" s="8">
        <v>240</v>
      </c>
      <c r="C243" s="8" t="s">
        <v>495</v>
      </c>
      <c r="D243" s="8" t="s">
        <v>319</v>
      </c>
      <c r="E243" s="39">
        <v>99000</v>
      </c>
      <c r="F243" s="40" t="s">
        <v>191</v>
      </c>
    </row>
    <row r="244" spans="2:6" hidden="1">
      <c r="B244" s="8">
        <v>241</v>
      </c>
      <c r="C244" s="8" t="s">
        <v>497</v>
      </c>
      <c r="D244" s="8" t="s">
        <v>211</v>
      </c>
      <c r="E244" s="39">
        <v>154000</v>
      </c>
      <c r="F244" s="40" t="s">
        <v>191</v>
      </c>
    </row>
    <row r="245" spans="2:6" hidden="1">
      <c r="B245" s="8">
        <v>242</v>
      </c>
      <c r="C245" s="8" t="s">
        <v>497</v>
      </c>
      <c r="D245" s="8" t="s">
        <v>498</v>
      </c>
      <c r="E245" s="39">
        <v>123000</v>
      </c>
      <c r="F245" s="40" t="s">
        <v>191</v>
      </c>
    </row>
    <row r="246" spans="2:6" hidden="1">
      <c r="B246" s="8">
        <v>243</v>
      </c>
      <c r="C246" s="8" t="s">
        <v>497</v>
      </c>
      <c r="D246" s="8" t="s">
        <v>211</v>
      </c>
      <c r="E246" s="39">
        <v>123000</v>
      </c>
      <c r="F246" s="40" t="s">
        <v>191</v>
      </c>
    </row>
    <row r="247" spans="2:6" hidden="1">
      <c r="B247" s="8">
        <v>244</v>
      </c>
      <c r="C247" s="8" t="s">
        <v>499</v>
      </c>
      <c r="D247" s="8" t="s">
        <v>217</v>
      </c>
      <c r="E247" s="39">
        <v>1717000</v>
      </c>
      <c r="F247" s="40" t="s">
        <v>191</v>
      </c>
    </row>
    <row r="248" spans="2:6" hidden="1">
      <c r="B248" s="8">
        <v>245</v>
      </c>
      <c r="C248" s="8" t="s">
        <v>192</v>
      </c>
      <c r="D248" s="8" t="s">
        <v>500</v>
      </c>
      <c r="E248" s="39">
        <v>72000</v>
      </c>
      <c r="F248" s="40" t="s">
        <v>191</v>
      </c>
    </row>
    <row r="249" spans="2:6" hidden="1">
      <c r="B249" s="8">
        <v>246</v>
      </c>
      <c r="C249" s="8" t="s">
        <v>501</v>
      </c>
      <c r="D249" s="8" t="s">
        <v>502</v>
      </c>
      <c r="E249" s="39">
        <v>94000</v>
      </c>
      <c r="F249" s="40" t="s">
        <v>191</v>
      </c>
    </row>
    <row r="250" spans="2:6" hidden="1">
      <c r="B250" s="8">
        <v>247</v>
      </c>
      <c r="C250" s="8" t="s">
        <v>501</v>
      </c>
      <c r="D250" s="8" t="s">
        <v>503</v>
      </c>
      <c r="E250" s="39">
        <v>205000</v>
      </c>
      <c r="F250" s="40" t="s">
        <v>191</v>
      </c>
    </row>
    <row r="251" spans="2:6" hidden="1">
      <c r="B251" s="8">
        <v>248</v>
      </c>
      <c r="C251" s="8" t="s">
        <v>504</v>
      </c>
      <c r="D251" s="8" t="s">
        <v>211</v>
      </c>
      <c r="E251" s="39">
        <v>232000</v>
      </c>
      <c r="F251" s="40" t="s">
        <v>191</v>
      </c>
    </row>
    <row r="252" spans="2:6" hidden="1">
      <c r="B252" s="8">
        <v>249</v>
      </c>
      <c r="C252" s="8" t="s">
        <v>505</v>
      </c>
      <c r="D252" s="8" t="s">
        <v>443</v>
      </c>
      <c r="E252" s="39">
        <v>96000</v>
      </c>
      <c r="F252" s="40" t="s">
        <v>191</v>
      </c>
    </row>
    <row r="253" spans="2:6" hidden="1">
      <c r="B253" s="8">
        <v>250</v>
      </c>
      <c r="C253" s="8" t="s">
        <v>506</v>
      </c>
      <c r="D253" s="8" t="s">
        <v>507</v>
      </c>
      <c r="E253" s="39">
        <v>1197000</v>
      </c>
      <c r="F253" s="40" t="s">
        <v>191</v>
      </c>
    </row>
    <row r="254" spans="2:6" hidden="1">
      <c r="B254" s="8">
        <v>251</v>
      </c>
      <c r="C254" s="8" t="s">
        <v>506</v>
      </c>
      <c r="D254" s="8" t="s">
        <v>211</v>
      </c>
      <c r="E254" s="39">
        <v>152000</v>
      </c>
      <c r="F254" s="40" t="s">
        <v>191</v>
      </c>
    </row>
    <row r="255" spans="2:6" hidden="1">
      <c r="B255" s="8">
        <v>252</v>
      </c>
      <c r="C255" s="8" t="s">
        <v>506</v>
      </c>
      <c r="D255" s="8" t="s">
        <v>508</v>
      </c>
      <c r="E255" s="39">
        <v>86000</v>
      </c>
      <c r="F255" s="40" t="s">
        <v>191</v>
      </c>
    </row>
    <row r="256" spans="2:6" hidden="1">
      <c r="B256" s="8">
        <v>253</v>
      </c>
      <c r="C256" s="8" t="s">
        <v>506</v>
      </c>
      <c r="D256" s="8" t="s">
        <v>509</v>
      </c>
      <c r="E256" s="39">
        <v>422000</v>
      </c>
      <c r="F256" s="40" t="s">
        <v>191</v>
      </c>
    </row>
    <row r="257" spans="2:6" hidden="1">
      <c r="B257" s="8">
        <v>254</v>
      </c>
      <c r="C257" s="8" t="s">
        <v>510</v>
      </c>
      <c r="D257" s="8" t="s">
        <v>511</v>
      </c>
      <c r="E257" s="39">
        <v>113000</v>
      </c>
      <c r="F257" s="40" t="s">
        <v>191</v>
      </c>
    </row>
    <row r="258" spans="2:6" hidden="1">
      <c r="B258" s="8">
        <v>255</v>
      </c>
      <c r="C258" s="8" t="s">
        <v>510</v>
      </c>
      <c r="D258" s="8" t="s">
        <v>512</v>
      </c>
      <c r="E258" s="39">
        <v>187000</v>
      </c>
      <c r="F258" s="40" t="s">
        <v>191</v>
      </c>
    </row>
    <row r="259" spans="2:6" hidden="1">
      <c r="B259" s="8">
        <v>256</v>
      </c>
      <c r="C259" s="8" t="s">
        <v>510</v>
      </c>
      <c r="D259" s="8" t="s">
        <v>513</v>
      </c>
      <c r="E259" s="39">
        <v>178000</v>
      </c>
      <c r="F259" s="40" t="s">
        <v>191</v>
      </c>
    </row>
    <row r="260" spans="2:6" hidden="1">
      <c r="B260" s="8">
        <v>257</v>
      </c>
      <c r="C260" s="8" t="s">
        <v>514</v>
      </c>
      <c r="D260" s="8" t="s">
        <v>198</v>
      </c>
      <c r="E260" s="39">
        <v>561000</v>
      </c>
      <c r="F260" s="40" t="s">
        <v>191</v>
      </c>
    </row>
    <row r="261" spans="2:6" hidden="1">
      <c r="B261" s="8">
        <v>258</v>
      </c>
      <c r="C261" s="8" t="s">
        <v>515</v>
      </c>
      <c r="D261" s="8" t="s">
        <v>516</v>
      </c>
      <c r="E261" s="39">
        <v>418000</v>
      </c>
      <c r="F261" s="40" t="s">
        <v>191</v>
      </c>
    </row>
    <row r="262" spans="2:6" hidden="1">
      <c r="B262" s="8">
        <v>259</v>
      </c>
      <c r="C262" s="8" t="s">
        <v>515</v>
      </c>
      <c r="D262" s="8" t="s">
        <v>475</v>
      </c>
      <c r="E262" s="39">
        <v>215000</v>
      </c>
      <c r="F262" s="40" t="s">
        <v>191</v>
      </c>
    </row>
    <row r="263" spans="2:6" hidden="1">
      <c r="B263" s="8">
        <v>260</v>
      </c>
      <c r="C263" s="8" t="s">
        <v>517</v>
      </c>
      <c r="D263" s="8" t="s">
        <v>518</v>
      </c>
      <c r="E263" s="39">
        <v>168000</v>
      </c>
      <c r="F263" s="40" t="s">
        <v>191</v>
      </c>
    </row>
    <row r="264" spans="2:6" hidden="1">
      <c r="B264" s="8">
        <v>261</v>
      </c>
      <c r="C264" s="8" t="s">
        <v>519</v>
      </c>
      <c r="D264" s="8" t="s">
        <v>198</v>
      </c>
      <c r="E264" s="39">
        <v>1919000</v>
      </c>
      <c r="F264" s="40" t="s">
        <v>191</v>
      </c>
    </row>
    <row r="265" spans="2:6" hidden="1">
      <c r="B265" s="8">
        <v>262</v>
      </c>
      <c r="C265" s="8" t="s">
        <v>519</v>
      </c>
      <c r="D265" s="8" t="s">
        <v>211</v>
      </c>
      <c r="E265" s="39">
        <v>346000</v>
      </c>
      <c r="F265" s="40" t="s">
        <v>191</v>
      </c>
    </row>
    <row r="266" spans="2:6" hidden="1">
      <c r="B266" s="8">
        <v>263</v>
      </c>
      <c r="C266" s="8" t="s">
        <v>520</v>
      </c>
      <c r="D266" s="8" t="s">
        <v>204</v>
      </c>
      <c r="E266" s="39">
        <v>272000</v>
      </c>
      <c r="F266" s="40" t="s">
        <v>191</v>
      </c>
    </row>
    <row r="267" spans="2:6" hidden="1">
      <c r="B267" s="8">
        <v>264</v>
      </c>
      <c r="C267" s="8" t="s">
        <v>520</v>
      </c>
      <c r="D267" s="8" t="s">
        <v>211</v>
      </c>
      <c r="E267" s="39">
        <v>360000</v>
      </c>
      <c r="F267" s="40" t="s">
        <v>191</v>
      </c>
    </row>
    <row r="268" spans="2:6" hidden="1">
      <c r="B268" s="8">
        <v>265</v>
      </c>
      <c r="C268" s="8" t="s">
        <v>521</v>
      </c>
      <c r="D268" s="8" t="s">
        <v>522</v>
      </c>
      <c r="E268" s="39">
        <v>143000</v>
      </c>
      <c r="F268" s="40" t="s">
        <v>191</v>
      </c>
    </row>
    <row r="269" spans="2:6" hidden="1">
      <c r="B269" s="8">
        <v>266</v>
      </c>
      <c r="C269" s="8" t="s">
        <v>521</v>
      </c>
      <c r="D269" s="8" t="s">
        <v>523</v>
      </c>
      <c r="E269" s="39">
        <v>103000</v>
      </c>
      <c r="F269" s="40" t="s">
        <v>191</v>
      </c>
    </row>
    <row r="270" spans="2:6" hidden="1">
      <c r="B270" s="8">
        <v>267</v>
      </c>
      <c r="C270" s="8" t="s">
        <v>521</v>
      </c>
      <c r="D270" s="8" t="s">
        <v>524</v>
      </c>
      <c r="E270" s="39">
        <v>125000</v>
      </c>
      <c r="F270" s="40" t="s">
        <v>191</v>
      </c>
    </row>
    <row r="271" spans="2:6" hidden="1">
      <c r="B271" s="8">
        <v>268</v>
      </c>
      <c r="C271" s="8" t="s">
        <v>521</v>
      </c>
      <c r="D271" s="8" t="s">
        <v>339</v>
      </c>
      <c r="E271" s="39">
        <v>152000</v>
      </c>
      <c r="F271" s="40" t="s">
        <v>191</v>
      </c>
    </row>
    <row r="272" spans="2:6" hidden="1">
      <c r="B272" s="8">
        <v>269</v>
      </c>
      <c r="C272" s="8" t="s">
        <v>525</v>
      </c>
      <c r="D272" s="8" t="s">
        <v>526</v>
      </c>
      <c r="E272" s="39">
        <v>177000</v>
      </c>
      <c r="F272" s="40" t="s">
        <v>191</v>
      </c>
    </row>
    <row r="273" spans="2:6" hidden="1">
      <c r="B273" s="8">
        <v>270</v>
      </c>
      <c r="C273" s="8" t="s">
        <v>527</v>
      </c>
      <c r="D273" s="8" t="s">
        <v>528</v>
      </c>
      <c r="E273" s="39">
        <v>459000</v>
      </c>
      <c r="F273" s="40" t="s">
        <v>191</v>
      </c>
    </row>
    <row r="274" spans="2:6" hidden="1">
      <c r="B274" s="8">
        <v>271</v>
      </c>
      <c r="C274" s="8" t="s">
        <v>527</v>
      </c>
      <c r="D274" s="8" t="s">
        <v>198</v>
      </c>
      <c r="E274" s="39">
        <v>318000</v>
      </c>
      <c r="F274" s="40" t="s">
        <v>191</v>
      </c>
    </row>
    <row r="275" spans="2:6" hidden="1">
      <c r="B275" s="8">
        <v>272</v>
      </c>
      <c r="C275" s="8" t="s">
        <v>529</v>
      </c>
      <c r="D275" s="8" t="s">
        <v>199</v>
      </c>
      <c r="E275" s="39">
        <v>210000</v>
      </c>
      <c r="F275" s="40" t="s">
        <v>191</v>
      </c>
    </row>
    <row r="276" spans="2:6" hidden="1">
      <c r="B276" s="8">
        <v>273</v>
      </c>
      <c r="C276" s="8" t="s">
        <v>530</v>
      </c>
      <c r="D276" s="8" t="s">
        <v>198</v>
      </c>
      <c r="E276" s="39">
        <v>498000</v>
      </c>
      <c r="F276" s="40" t="s">
        <v>191</v>
      </c>
    </row>
    <row r="277" spans="2:6" hidden="1">
      <c r="B277" s="8">
        <v>274</v>
      </c>
      <c r="C277" s="8" t="s">
        <v>530</v>
      </c>
      <c r="D277" s="8" t="s">
        <v>531</v>
      </c>
      <c r="E277" s="39">
        <v>314000</v>
      </c>
      <c r="F277" s="40" t="s">
        <v>191</v>
      </c>
    </row>
    <row r="278" spans="2:6" hidden="1">
      <c r="B278" s="8">
        <v>275</v>
      </c>
      <c r="C278" s="8" t="s">
        <v>532</v>
      </c>
      <c r="D278" s="8" t="s">
        <v>533</v>
      </c>
      <c r="E278" s="39">
        <v>82000</v>
      </c>
      <c r="F278" s="40" t="s">
        <v>191</v>
      </c>
    </row>
    <row r="279" spans="2:6" hidden="1">
      <c r="B279" s="8">
        <v>276</v>
      </c>
      <c r="C279" s="8" t="s">
        <v>532</v>
      </c>
      <c r="D279" s="8" t="s">
        <v>534</v>
      </c>
      <c r="E279" s="39">
        <v>55000</v>
      </c>
      <c r="F279" s="40" t="s">
        <v>191</v>
      </c>
    </row>
    <row r="280" spans="2:6" hidden="1">
      <c r="B280" s="8">
        <v>277</v>
      </c>
      <c r="C280" s="8" t="s">
        <v>535</v>
      </c>
      <c r="D280" s="8" t="s">
        <v>536</v>
      </c>
      <c r="E280" s="39">
        <v>1047000</v>
      </c>
      <c r="F280" s="40" t="s">
        <v>191</v>
      </c>
    </row>
    <row r="281" spans="2:6" hidden="1">
      <c r="B281" s="8">
        <v>278</v>
      </c>
      <c r="C281" s="8" t="s">
        <v>537</v>
      </c>
      <c r="D281" s="8" t="s">
        <v>211</v>
      </c>
      <c r="E281" s="39">
        <v>144000</v>
      </c>
      <c r="F281" s="40" t="s">
        <v>191</v>
      </c>
    </row>
    <row r="282" spans="2:6" hidden="1">
      <c r="B282" s="8">
        <v>279</v>
      </c>
      <c r="C282" s="8" t="s">
        <v>538</v>
      </c>
      <c r="D282" s="8" t="s">
        <v>198</v>
      </c>
      <c r="E282" s="39">
        <v>1340000</v>
      </c>
      <c r="F282" s="40" t="s">
        <v>191</v>
      </c>
    </row>
    <row r="283" spans="2:6" hidden="1">
      <c r="B283" s="8">
        <v>280</v>
      </c>
      <c r="C283" s="8" t="s">
        <v>538</v>
      </c>
      <c r="D283" s="8" t="s">
        <v>198</v>
      </c>
      <c r="E283" s="39">
        <v>572000</v>
      </c>
      <c r="F283" s="40" t="s">
        <v>191</v>
      </c>
    </row>
    <row r="284" spans="2:6" hidden="1">
      <c r="B284" s="8">
        <v>281</v>
      </c>
      <c r="C284" s="8" t="s">
        <v>539</v>
      </c>
      <c r="D284" s="8" t="s">
        <v>204</v>
      </c>
      <c r="E284" s="39">
        <v>689000</v>
      </c>
      <c r="F284" s="40" t="s">
        <v>191</v>
      </c>
    </row>
    <row r="285" spans="2:6" hidden="1">
      <c r="B285" s="8">
        <v>282</v>
      </c>
      <c r="C285" s="8" t="s">
        <v>539</v>
      </c>
      <c r="D285" s="8" t="s">
        <v>540</v>
      </c>
      <c r="E285" s="39">
        <v>736000</v>
      </c>
      <c r="F285" s="40" t="s">
        <v>191</v>
      </c>
    </row>
    <row r="286" spans="2:6" hidden="1">
      <c r="B286" s="8">
        <v>283</v>
      </c>
      <c r="C286" s="8" t="s">
        <v>541</v>
      </c>
      <c r="D286" s="8" t="s">
        <v>542</v>
      </c>
      <c r="E286" s="39">
        <v>232000</v>
      </c>
      <c r="F286" s="40" t="s">
        <v>191</v>
      </c>
    </row>
    <row r="287" spans="2:6" hidden="1">
      <c r="B287" s="8">
        <v>284</v>
      </c>
      <c r="C287" s="8" t="s">
        <v>543</v>
      </c>
      <c r="D287" s="8" t="s">
        <v>544</v>
      </c>
      <c r="E287" s="39">
        <v>106000</v>
      </c>
      <c r="F287" s="40" t="s">
        <v>191</v>
      </c>
    </row>
    <row r="288" spans="2:6" hidden="1">
      <c r="B288" s="8">
        <v>285</v>
      </c>
      <c r="C288" s="8" t="s">
        <v>545</v>
      </c>
      <c r="D288" s="8" t="s">
        <v>546</v>
      </c>
      <c r="E288" s="39">
        <v>206000</v>
      </c>
      <c r="F288" s="40" t="s">
        <v>191</v>
      </c>
    </row>
    <row r="289" spans="2:6" hidden="1">
      <c r="B289" s="8">
        <v>286</v>
      </c>
      <c r="C289" s="8" t="s">
        <v>545</v>
      </c>
      <c r="D289" s="8" t="s">
        <v>198</v>
      </c>
      <c r="E289" s="39">
        <v>1885000</v>
      </c>
      <c r="F289" s="40" t="s">
        <v>191</v>
      </c>
    </row>
    <row r="290" spans="2:6" hidden="1">
      <c r="B290" s="8">
        <v>287</v>
      </c>
      <c r="C290" s="8" t="s">
        <v>547</v>
      </c>
      <c r="D290" s="8" t="s">
        <v>534</v>
      </c>
      <c r="E290" s="39">
        <v>704000</v>
      </c>
      <c r="F290" s="40" t="s">
        <v>191</v>
      </c>
    </row>
    <row r="291" spans="2:6" hidden="1">
      <c r="B291" s="8">
        <v>288</v>
      </c>
      <c r="C291" s="8" t="s">
        <v>547</v>
      </c>
      <c r="D291" s="8" t="s">
        <v>548</v>
      </c>
      <c r="E291" s="39">
        <v>64000</v>
      </c>
      <c r="F291" s="40" t="s">
        <v>191</v>
      </c>
    </row>
    <row r="292" spans="2:6" hidden="1">
      <c r="B292" s="8">
        <v>289</v>
      </c>
      <c r="C292" s="8" t="s">
        <v>549</v>
      </c>
      <c r="D292" s="8" t="s">
        <v>381</v>
      </c>
      <c r="E292" s="39">
        <v>123000</v>
      </c>
      <c r="F292" s="40" t="s">
        <v>191</v>
      </c>
    </row>
    <row r="293" spans="2:6" hidden="1">
      <c r="B293" s="8">
        <v>290</v>
      </c>
      <c r="C293" s="8" t="s">
        <v>549</v>
      </c>
      <c r="D293" s="8" t="s">
        <v>198</v>
      </c>
      <c r="E293" s="39">
        <v>424000</v>
      </c>
      <c r="F293" s="40" t="s">
        <v>191</v>
      </c>
    </row>
    <row r="294" spans="2:6" hidden="1">
      <c r="B294" s="8">
        <v>291</v>
      </c>
      <c r="C294" s="8" t="s">
        <v>550</v>
      </c>
      <c r="D294" s="8" t="s">
        <v>551</v>
      </c>
      <c r="E294" s="39">
        <v>1080000</v>
      </c>
      <c r="F294" s="40" t="s">
        <v>191</v>
      </c>
    </row>
    <row r="295" spans="2:6" hidden="1">
      <c r="B295" s="8">
        <v>292</v>
      </c>
      <c r="C295" s="8" t="s">
        <v>550</v>
      </c>
      <c r="D295" s="8" t="s">
        <v>552</v>
      </c>
      <c r="E295" s="39">
        <v>91000</v>
      </c>
      <c r="F295" s="40" t="s">
        <v>191</v>
      </c>
    </row>
    <row r="296" spans="2:6" hidden="1">
      <c r="B296" s="8">
        <v>293</v>
      </c>
      <c r="C296" s="8" t="s">
        <v>550</v>
      </c>
      <c r="D296" s="8" t="s">
        <v>553</v>
      </c>
      <c r="E296" s="39">
        <v>370000</v>
      </c>
      <c r="F296" s="40" t="s">
        <v>191</v>
      </c>
    </row>
    <row r="297" spans="2:6" hidden="1">
      <c r="B297" s="8">
        <v>294</v>
      </c>
      <c r="C297" s="8" t="s">
        <v>554</v>
      </c>
      <c r="D297" s="8" t="s">
        <v>555</v>
      </c>
      <c r="E297" s="39">
        <v>191000</v>
      </c>
      <c r="F297" s="40" t="s">
        <v>191</v>
      </c>
    </row>
    <row r="298" spans="2:6" hidden="1">
      <c r="B298" s="8">
        <v>295</v>
      </c>
      <c r="C298" s="8" t="s">
        <v>554</v>
      </c>
      <c r="D298" s="8" t="s">
        <v>198</v>
      </c>
      <c r="E298" s="39">
        <v>838000</v>
      </c>
      <c r="F298" s="40" t="s">
        <v>191</v>
      </c>
    </row>
    <row r="299" spans="2:6" hidden="1">
      <c r="B299" s="8">
        <v>296</v>
      </c>
      <c r="C299" s="8" t="s">
        <v>556</v>
      </c>
      <c r="D299" s="8" t="s">
        <v>211</v>
      </c>
      <c r="E299" s="39">
        <v>232000</v>
      </c>
      <c r="F299" s="40" t="s">
        <v>191</v>
      </c>
    </row>
    <row r="300" spans="2:6" hidden="1">
      <c r="B300" s="8">
        <v>297</v>
      </c>
      <c r="C300" s="8" t="s">
        <v>556</v>
      </c>
      <c r="D300" s="8" t="s">
        <v>204</v>
      </c>
      <c r="E300" s="39">
        <v>222000</v>
      </c>
      <c r="F300" s="40" t="s">
        <v>191</v>
      </c>
    </row>
    <row r="301" spans="2:6" hidden="1">
      <c r="B301" s="8">
        <v>298</v>
      </c>
      <c r="C301" s="8" t="s">
        <v>557</v>
      </c>
      <c r="D301" s="8" t="s">
        <v>558</v>
      </c>
      <c r="E301" s="39">
        <v>86000</v>
      </c>
      <c r="F301" s="40" t="s">
        <v>191</v>
      </c>
    </row>
    <row r="302" spans="2:6" hidden="1">
      <c r="B302" s="8">
        <v>299</v>
      </c>
      <c r="C302" s="8" t="s">
        <v>557</v>
      </c>
      <c r="D302" s="8" t="s">
        <v>559</v>
      </c>
      <c r="E302" s="39">
        <v>440000</v>
      </c>
      <c r="F302" s="40" t="s">
        <v>191</v>
      </c>
    </row>
    <row r="303" spans="2:6" hidden="1">
      <c r="B303" s="8">
        <v>300</v>
      </c>
      <c r="C303" s="8" t="s">
        <v>560</v>
      </c>
      <c r="D303" s="8" t="s">
        <v>561</v>
      </c>
      <c r="E303" s="39">
        <v>65000</v>
      </c>
      <c r="F303" s="40" t="s">
        <v>191</v>
      </c>
    </row>
    <row r="304" spans="2:6" hidden="1">
      <c r="B304" s="8">
        <v>301</v>
      </c>
      <c r="C304" s="8" t="s">
        <v>562</v>
      </c>
      <c r="D304" s="8" t="s">
        <v>198</v>
      </c>
      <c r="E304" s="39">
        <v>879000</v>
      </c>
      <c r="F304" s="40" t="s">
        <v>191</v>
      </c>
    </row>
    <row r="305" spans="2:6" hidden="1">
      <c r="B305" s="8">
        <v>302</v>
      </c>
      <c r="C305" s="8" t="s">
        <v>563</v>
      </c>
      <c r="D305" s="8" t="s">
        <v>198</v>
      </c>
      <c r="E305" s="39">
        <v>1131000</v>
      </c>
      <c r="F305" s="40" t="s">
        <v>191</v>
      </c>
    </row>
    <row r="306" spans="2:6" hidden="1">
      <c r="B306" s="8">
        <v>303</v>
      </c>
      <c r="C306" s="8" t="s">
        <v>564</v>
      </c>
      <c r="D306" s="8" t="s">
        <v>565</v>
      </c>
      <c r="E306" s="39">
        <v>371000</v>
      </c>
      <c r="F306" s="40" t="s">
        <v>191</v>
      </c>
    </row>
    <row r="307" spans="2:6" hidden="1">
      <c r="B307" s="8">
        <v>304</v>
      </c>
      <c r="C307" s="8" t="s">
        <v>566</v>
      </c>
      <c r="D307" s="8" t="s">
        <v>567</v>
      </c>
      <c r="E307" s="39">
        <v>99000</v>
      </c>
      <c r="F307" s="40" t="s">
        <v>191</v>
      </c>
    </row>
    <row r="308" spans="2:6" hidden="1">
      <c r="B308" s="8">
        <v>305</v>
      </c>
      <c r="C308" s="8" t="s">
        <v>568</v>
      </c>
      <c r="D308" s="8" t="s">
        <v>569</v>
      </c>
      <c r="E308" s="39">
        <v>169000</v>
      </c>
      <c r="F308" s="40" t="s">
        <v>191</v>
      </c>
    </row>
    <row r="309" spans="2:6" hidden="1">
      <c r="B309" s="8">
        <v>306</v>
      </c>
      <c r="C309" s="8" t="s">
        <v>570</v>
      </c>
      <c r="D309" s="8" t="s">
        <v>571</v>
      </c>
      <c r="E309" s="39">
        <v>133000</v>
      </c>
      <c r="F309" s="40" t="s">
        <v>191</v>
      </c>
    </row>
    <row r="310" spans="2:6" hidden="1">
      <c r="B310" s="8">
        <v>307</v>
      </c>
      <c r="C310" s="8" t="s">
        <v>570</v>
      </c>
      <c r="D310" s="8" t="s">
        <v>572</v>
      </c>
      <c r="E310" s="39">
        <v>245000</v>
      </c>
      <c r="F310" s="40" t="s">
        <v>191</v>
      </c>
    </row>
    <row r="311" spans="2:6" hidden="1">
      <c r="B311" s="8">
        <v>308</v>
      </c>
      <c r="C311" s="8" t="s">
        <v>570</v>
      </c>
      <c r="D311" s="8" t="s">
        <v>573</v>
      </c>
      <c r="E311" s="39">
        <v>145000</v>
      </c>
      <c r="F311" s="40" t="s">
        <v>191</v>
      </c>
    </row>
    <row r="312" spans="2:6" hidden="1">
      <c r="B312" s="8">
        <v>309</v>
      </c>
      <c r="C312" s="8" t="s">
        <v>574</v>
      </c>
      <c r="D312" s="8" t="s">
        <v>575</v>
      </c>
      <c r="E312" s="39">
        <v>428000</v>
      </c>
      <c r="F312" s="40" t="s">
        <v>191</v>
      </c>
    </row>
    <row r="313" spans="2:6" hidden="1">
      <c r="B313" s="8">
        <v>310</v>
      </c>
      <c r="C313" s="8" t="s">
        <v>576</v>
      </c>
      <c r="D313" s="8" t="s">
        <v>256</v>
      </c>
      <c r="E313" s="39">
        <v>80000</v>
      </c>
      <c r="F313" s="40" t="s">
        <v>191</v>
      </c>
    </row>
    <row r="314" spans="2:6" hidden="1">
      <c r="B314" s="8">
        <v>311</v>
      </c>
      <c r="C314" s="8" t="s">
        <v>576</v>
      </c>
      <c r="D314" s="8" t="s">
        <v>577</v>
      </c>
      <c r="E314" s="39">
        <v>233000</v>
      </c>
      <c r="F314" s="40" t="s">
        <v>191</v>
      </c>
    </row>
    <row r="315" spans="2:6" hidden="1">
      <c r="B315" s="8">
        <v>312</v>
      </c>
      <c r="C315" s="8" t="s">
        <v>576</v>
      </c>
      <c r="D315" s="8" t="s">
        <v>578</v>
      </c>
      <c r="E315" s="39">
        <v>946000</v>
      </c>
      <c r="F315" s="40" t="s">
        <v>191</v>
      </c>
    </row>
    <row r="316" spans="2:6" hidden="1">
      <c r="B316" s="8">
        <v>313</v>
      </c>
      <c r="C316" s="8" t="s">
        <v>576</v>
      </c>
      <c r="D316" s="8" t="s">
        <v>579</v>
      </c>
      <c r="E316" s="39">
        <v>117000</v>
      </c>
      <c r="F316" s="40" t="s">
        <v>191</v>
      </c>
    </row>
    <row r="317" spans="2:6" hidden="1">
      <c r="B317" s="8">
        <v>314</v>
      </c>
      <c r="C317" s="8" t="s">
        <v>580</v>
      </c>
      <c r="D317" s="8" t="s">
        <v>204</v>
      </c>
      <c r="E317" s="39">
        <v>187000</v>
      </c>
      <c r="F317" s="40" t="s">
        <v>191</v>
      </c>
    </row>
    <row r="318" spans="2:6" hidden="1">
      <c r="B318" s="8">
        <v>315</v>
      </c>
      <c r="C318" s="8" t="s">
        <v>580</v>
      </c>
      <c r="D318" s="8" t="s">
        <v>581</v>
      </c>
      <c r="E318" s="39">
        <v>237000</v>
      </c>
      <c r="F318" s="40" t="s">
        <v>191</v>
      </c>
    </row>
    <row r="319" spans="2:6" hidden="1">
      <c r="B319" s="8">
        <v>316</v>
      </c>
      <c r="C319" s="8" t="s">
        <v>580</v>
      </c>
      <c r="D319" s="8" t="s">
        <v>582</v>
      </c>
      <c r="E319" s="39">
        <v>422000</v>
      </c>
      <c r="F319" s="40" t="s">
        <v>191</v>
      </c>
    </row>
    <row r="320" spans="2:6" hidden="1">
      <c r="B320" s="8">
        <v>317</v>
      </c>
      <c r="C320" s="8" t="s">
        <v>583</v>
      </c>
      <c r="D320" s="8" t="s">
        <v>584</v>
      </c>
      <c r="E320" s="39">
        <v>115000</v>
      </c>
      <c r="F320" s="40" t="s">
        <v>191</v>
      </c>
    </row>
    <row r="321" spans="2:6" hidden="1">
      <c r="B321" s="8">
        <v>318</v>
      </c>
      <c r="C321" s="8" t="s">
        <v>583</v>
      </c>
      <c r="D321" s="8" t="s">
        <v>585</v>
      </c>
      <c r="E321" s="39">
        <v>257000</v>
      </c>
      <c r="F321" s="40" t="s">
        <v>191</v>
      </c>
    </row>
    <row r="322" spans="2:6" hidden="1">
      <c r="B322" s="8">
        <v>319</v>
      </c>
      <c r="C322" s="8" t="s">
        <v>583</v>
      </c>
      <c r="D322" s="8" t="s">
        <v>586</v>
      </c>
      <c r="E322" s="39">
        <v>342000</v>
      </c>
      <c r="F322" s="40" t="s">
        <v>191</v>
      </c>
    </row>
    <row r="323" spans="2:6" hidden="1">
      <c r="B323" s="8">
        <v>320</v>
      </c>
      <c r="C323" s="8" t="s">
        <v>583</v>
      </c>
      <c r="D323" s="8" t="s">
        <v>432</v>
      </c>
      <c r="E323" s="39">
        <v>96000</v>
      </c>
      <c r="F323" s="40" t="s">
        <v>191</v>
      </c>
    </row>
    <row r="324" spans="2:6" hidden="1">
      <c r="B324" s="8">
        <v>321</v>
      </c>
      <c r="C324" s="8" t="s">
        <v>583</v>
      </c>
      <c r="D324" s="8" t="s">
        <v>587</v>
      </c>
      <c r="E324" s="39">
        <v>386000</v>
      </c>
      <c r="F324" s="40" t="s">
        <v>191</v>
      </c>
    </row>
    <row r="325" spans="2:6" hidden="1">
      <c r="B325" s="8">
        <v>322</v>
      </c>
      <c r="C325" s="8" t="s">
        <v>588</v>
      </c>
      <c r="D325" s="8" t="s">
        <v>251</v>
      </c>
      <c r="E325" s="39">
        <v>95000</v>
      </c>
      <c r="F325" s="40" t="s">
        <v>191</v>
      </c>
    </row>
    <row r="326" spans="2:6" hidden="1">
      <c r="B326" s="8">
        <v>323</v>
      </c>
      <c r="C326" s="8" t="s">
        <v>589</v>
      </c>
      <c r="D326" s="8" t="s">
        <v>590</v>
      </c>
      <c r="E326" s="39">
        <v>114000</v>
      </c>
      <c r="F326" s="40" t="s">
        <v>191</v>
      </c>
    </row>
    <row r="327" spans="2:6" hidden="1">
      <c r="B327" s="8">
        <v>324</v>
      </c>
      <c r="C327" s="8" t="s">
        <v>591</v>
      </c>
      <c r="D327" s="8" t="s">
        <v>592</v>
      </c>
      <c r="E327" s="39">
        <v>96000</v>
      </c>
      <c r="F327" s="40" t="s">
        <v>191</v>
      </c>
    </row>
    <row r="328" spans="2:6" hidden="1">
      <c r="B328" s="8">
        <v>325</v>
      </c>
      <c r="C328" s="8" t="s">
        <v>593</v>
      </c>
      <c r="D328" s="8" t="s">
        <v>594</v>
      </c>
      <c r="E328" s="39">
        <v>222000</v>
      </c>
      <c r="F328" s="40" t="s">
        <v>191</v>
      </c>
    </row>
    <row r="329" spans="2:6" hidden="1">
      <c r="B329" s="8">
        <v>326</v>
      </c>
      <c r="C329" s="8" t="s">
        <v>595</v>
      </c>
      <c r="D329" s="8" t="s">
        <v>596</v>
      </c>
      <c r="E329" s="39">
        <v>679000</v>
      </c>
      <c r="F329" s="40" t="s">
        <v>191</v>
      </c>
    </row>
    <row r="330" spans="2:6" hidden="1">
      <c r="B330" s="8">
        <v>327</v>
      </c>
      <c r="C330" s="8" t="s">
        <v>597</v>
      </c>
      <c r="D330" s="8" t="s">
        <v>598</v>
      </c>
      <c r="E330" s="39">
        <v>188000</v>
      </c>
      <c r="F330" s="40" t="s">
        <v>191</v>
      </c>
    </row>
    <row r="331" spans="2:6" hidden="1">
      <c r="B331" s="8">
        <v>328</v>
      </c>
      <c r="C331" s="8" t="s">
        <v>599</v>
      </c>
      <c r="D331" s="8" t="s">
        <v>600</v>
      </c>
      <c r="E331" s="39">
        <v>513000</v>
      </c>
      <c r="F331" s="40" t="s">
        <v>191</v>
      </c>
    </row>
    <row r="332" spans="2:6" hidden="1">
      <c r="B332" s="8">
        <v>329</v>
      </c>
      <c r="C332" s="8" t="s">
        <v>601</v>
      </c>
      <c r="D332" s="8" t="s">
        <v>211</v>
      </c>
      <c r="E332" s="39">
        <v>572000</v>
      </c>
      <c r="F332" s="40" t="s">
        <v>191</v>
      </c>
    </row>
    <row r="333" spans="2:6" hidden="1">
      <c r="B333" s="8">
        <v>330</v>
      </c>
      <c r="C333" s="8" t="s">
        <v>602</v>
      </c>
      <c r="D333" s="8" t="s">
        <v>603</v>
      </c>
      <c r="E333" s="39">
        <v>196000</v>
      </c>
      <c r="F333" s="40" t="s">
        <v>191</v>
      </c>
    </row>
    <row r="334" spans="2:6" hidden="1">
      <c r="B334" s="8">
        <v>331</v>
      </c>
      <c r="C334" s="8" t="s">
        <v>604</v>
      </c>
      <c r="D334" s="8" t="s">
        <v>605</v>
      </c>
      <c r="E334" s="39">
        <v>154000</v>
      </c>
      <c r="F334" s="40" t="s">
        <v>191</v>
      </c>
    </row>
    <row r="335" spans="2:6" hidden="1">
      <c r="B335" s="8">
        <v>332</v>
      </c>
      <c r="C335" s="8" t="s">
        <v>604</v>
      </c>
      <c r="D335" s="8" t="s">
        <v>606</v>
      </c>
      <c r="E335" s="39">
        <v>55000</v>
      </c>
      <c r="F335" s="40" t="s">
        <v>191</v>
      </c>
    </row>
    <row r="336" spans="2:6" hidden="1">
      <c r="B336" s="8">
        <v>333</v>
      </c>
      <c r="C336" s="8" t="s">
        <v>607</v>
      </c>
      <c r="D336" s="8" t="s">
        <v>608</v>
      </c>
      <c r="E336" s="39">
        <v>189000</v>
      </c>
      <c r="F336" s="40" t="s">
        <v>191</v>
      </c>
    </row>
    <row r="337" spans="2:6" hidden="1">
      <c r="B337" s="8">
        <v>334</v>
      </c>
      <c r="C337" s="8" t="s">
        <v>607</v>
      </c>
      <c r="D337" s="8" t="s">
        <v>198</v>
      </c>
      <c r="E337" s="39">
        <v>670000</v>
      </c>
      <c r="F337" s="40" t="s">
        <v>191</v>
      </c>
    </row>
    <row r="338" spans="2:6" hidden="1">
      <c r="B338" s="8">
        <v>335</v>
      </c>
      <c r="C338" s="8" t="s">
        <v>607</v>
      </c>
      <c r="D338" s="8" t="s">
        <v>211</v>
      </c>
      <c r="E338" s="39">
        <v>187000</v>
      </c>
      <c r="F338" s="40" t="s">
        <v>191</v>
      </c>
    </row>
    <row r="339" spans="2:6" hidden="1">
      <c r="B339" s="8">
        <v>336</v>
      </c>
      <c r="C339" s="8" t="s">
        <v>609</v>
      </c>
      <c r="D339" s="8" t="s">
        <v>587</v>
      </c>
      <c r="E339" s="39">
        <v>366000</v>
      </c>
      <c r="F339" s="40" t="s">
        <v>191</v>
      </c>
    </row>
    <row r="340" spans="2:6" hidden="1">
      <c r="B340" s="8">
        <v>337</v>
      </c>
      <c r="C340" s="8" t="s">
        <v>609</v>
      </c>
      <c r="D340" s="8" t="s">
        <v>610</v>
      </c>
      <c r="E340" s="39">
        <v>621000</v>
      </c>
      <c r="F340" s="40" t="s">
        <v>191</v>
      </c>
    </row>
    <row r="341" spans="2:6" hidden="1">
      <c r="B341" s="8">
        <v>338</v>
      </c>
      <c r="C341" s="8" t="s">
        <v>609</v>
      </c>
      <c r="D341" s="8" t="s">
        <v>611</v>
      </c>
      <c r="E341" s="39">
        <v>247000</v>
      </c>
      <c r="F341" s="40" t="s">
        <v>191</v>
      </c>
    </row>
    <row r="342" spans="2:6" hidden="1">
      <c r="B342" s="8">
        <v>339</v>
      </c>
      <c r="C342" s="8" t="s">
        <v>612</v>
      </c>
      <c r="D342" s="8" t="s">
        <v>211</v>
      </c>
      <c r="E342" s="39">
        <v>55000</v>
      </c>
      <c r="F342" s="40" t="s">
        <v>191</v>
      </c>
    </row>
    <row r="343" spans="2:6" hidden="1">
      <c r="B343" s="8">
        <v>340</v>
      </c>
      <c r="C343" s="8" t="s">
        <v>613</v>
      </c>
      <c r="D343" s="8" t="s">
        <v>614</v>
      </c>
      <c r="E343" s="39">
        <v>360000</v>
      </c>
      <c r="F343" s="40" t="s">
        <v>191</v>
      </c>
    </row>
    <row r="344" spans="2:6" hidden="1">
      <c r="B344" s="8">
        <v>341</v>
      </c>
      <c r="C344" s="8" t="s">
        <v>615</v>
      </c>
      <c r="D344" s="8" t="s">
        <v>616</v>
      </c>
      <c r="E344" s="39">
        <v>100000</v>
      </c>
      <c r="F344" s="40" t="s">
        <v>191</v>
      </c>
    </row>
    <row r="345" spans="2:6" hidden="1">
      <c r="B345" s="8">
        <v>342</v>
      </c>
      <c r="C345" s="8" t="s">
        <v>615</v>
      </c>
      <c r="D345" s="8" t="s">
        <v>617</v>
      </c>
      <c r="E345" s="39">
        <v>306000</v>
      </c>
      <c r="F345" s="40" t="s">
        <v>191</v>
      </c>
    </row>
    <row r="346" spans="2:6" hidden="1">
      <c r="B346" s="8">
        <v>343</v>
      </c>
      <c r="C346" s="8" t="s">
        <v>618</v>
      </c>
      <c r="D346" s="8" t="s">
        <v>211</v>
      </c>
      <c r="E346" s="39">
        <v>546000</v>
      </c>
      <c r="F346" s="40" t="s">
        <v>191</v>
      </c>
    </row>
    <row r="347" spans="2:6" hidden="1">
      <c r="B347" s="8">
        <v>344</v>
      </c>
      <c r="C347" s="8" t="s">
        <v>619</v>
      </c>
      <c r="D347" s="8" t="s">
        <v>620</v>
      </c>
      <c r="E347" s="39">
        <v>71000</v>
      </c>
      <c r="F347" s="40" t="s">
        <v>191</v>
      </c>
    </row>
    <row r="348" spans="2:6" hidden="1">
      <c r="B348" s="8">
        <v>345</v>
      </c>
      <c r="C348" s="8" t="s">
        <v>619</v>
      </c>
      <c r="D348" s="8" t="s">
        <v>211</v>
      </c>
      <c r="E348" s="39">
        <v>55000</v>
      </c>
      <c r="F348" s="40" t="s">
        <v>191</v>
      </c>
    </row>
    <row r="349" spans="2:6" hidden="1">
      <c r="B349" s="8">
        <v>346</v>
      </c>
      <c r="C349" s="8" t="s">
        <v>619</v>
      </c>
      <c r="D349" s="8" t="s">
        <v>621</v>
      </c>
      <c r="E349" s="39">
        <v>325000</v>
      </c>
      <c r="F349" s="40" t="s">
        <v>191</v>
      </c>
    </row>
    <row r="350" spans="2:6" hidden="1">
      <c r="B350" s="8">
        <v>347</v>
      </c>
      <c r="C350" s="8" t="s">
        <v>622</v>
      </c>
      <c r="D350" s="8" t="s">
        <v>623</v>
      </c>
      <c r="E350" s="39">
        <v>992000</v>
      </c>
      <c r="F350" s="40" t="s">
        <v>191</v>
      </c>
    </row>
    <row r="351" spans="2:6" hidden="1">
      <c r="B351" s="8">
        <v>348</v>
      </c>
      <c r="C351" s="8" t="s">
        <v>622</v>
      </c>
      <c r="D351" s="8" t="s">
        <v>624</v>
      </c>
      <c r="E351" s="39">
        <v>154000</v>
      </c>
      <c r="F351" s="40" t="s">
        <v>191</v>
      </c>
    </row>
    <row r="352" spans="2:6" hidden="1">
      <c r="B352" s="8">
        <v>349</v>
      </c>
      <c r="C352" s="8" t="s">
        <v>625</v>
      </c>
      <c r="D352" s="8" t="s">
        <v>626</v>
      </c>
      <c r="E352" s="39">
        <v>154000</v>
      </c>
      <c r="F352" s="40" t="s">
        <v>191</v>
      </c>
    </row>
    <row r="353" spans="2:6" hidden="1">
      <c r="B353" s="8">
        <v>350</v>
      </c>
      <c r="C353" s="8" t="s">
        <v>627</v>
      </c>
      <c r="D353" s="8" t="s">
        <v>449</v>
      </c>
      <c r="E353" s="39">
        <v>128000</v>
      </c>
      <c r="F353" s="40" t="s">
        <v>191</v>
      </c>
    </row>
    <row r="354" spans="2:6" hidden="1">
      <c r="B354" s="8">
        <v>351</v>
      </c>
      <c r="C354" s="8" t="s">
        <v>628</v>
      </c>
      <c r="D354" s="8" t="s">
        <v>629</v>
      </c>
      <c r="E354" s="39">
        <v>1141000</v>
      </c>
      <c r="F354" s="40" t="s">
        <v>191</v>
      </c>
    </row>
    <row r="355" spans="2:6" hidden="1">
      <c r="B355" s="8">
        <v>352</v>
      </c>
      <c r="C355" s="8" t="s">
        <v>628</v>
      </c>
      <c r="D355" s="8" t="s">
        <v>198</v>
      </c>
      <c r="E355" s="39">
        <v>879000</v>
      </c>
      <c r="F355" s="40" t="s">
        <v>191</v>
      </c>
    </row>
    <row r="356" spans="2:6" hidden="1">
      <c r="B356" s="8">
        <v>353</v>
      </c>
      <c r="C356" s="8" t="s">
        <v>628</v>
      </c>
      <c r="D356" s="8" t="s">
        <v>630</v>
      </c>
      <c r="E356" s="39">
        <v>240000</v>
      </c>
      <c r="F356" s="40" t="s">
        <v>191</v>
      </c>
    </row>
    <row r="357" spans="2:6" hidden="1">
      <c r="B357" s="8">
        <v>354</v>
      </c>
      <c r="C357" s="8" t="s">
        <v>631</v>
      </c>
      <c r="D357" s="8" t="s">
        <v>198</v>
      </c>
      <c r="E357" s="39">
        <v>318000</v>
      </c>
      <c r="F357" s="40" t="s">
        <v>191</v>
      </c>
    </row>
    <row r="358" spans="2:6" hidden="1">
      <c r="B358" s="8">
        <v>355</v>
      </c>
      <c r="C358" s="8" t="s">
        <v>631</v>
      </c>
      <c r="D358" s="8" t="s">
        <v>632</v>
      </c>
      <c r="E358" s="39">
        <v>381000</v>
      </c>
      <c r="F358" s="40" t="s">
        <v>191</v>
      </c>
    </row>
    <row r="359" spans="2:6" hidden="1">
      <c r="B359" s="8">
        <v>356</v>
      </c>
      <c r="C359" s="8" t="s">
        <v>633</v>
      </c>
      <c r="D359" s="8" t="s">
        <v>634</v>
      </c>
      <c r="E359" s="39">
        <v>168000</v>
      </c>
      <c r="F359" s="40" t="s">
        <v>191</v>
      </c>
    </row>
    <row r="360" spans="2:6" hidden="1">
      <c r="B360" s="8">
        <v>357</v>
      </c>
      <c r="C360" s="8" t="s">
        <v>635</v>
      </c>
      <c r="D360" s="8" t="s">
        <v>636</v>
      </c>
      <c r="E360" s="39">
        <v>300000</v>
      </c>
      <c r="F360" s="40" t="s">
        <v>191</v>
      </c>
    </row>
    <row r="361" spans="2:6" hidden="1">
      <c r="B361" s="8">
        <v>358</v>
      </c>
      <c r="C361" s="8" t="s">
        <v>635</v>
      </c>
      <c r="D361" s="8" t="s">
        <v>637</v>
      </c>
      <c r="E361" s="39">
        <v>135000</v>
      </c>
      <c r="F361" s="40" t="s">
        <v>191</v>
      </c>
    </row>
    <row r="362" spans="2:6" hidden="1">
      <c r="B362" s="8">
        <v>359</v>
      </c>
      <c r="C362" s="8" t="s">
        <v>638</v>
      </c>
      <c r="D362" s="8" t="s">
        <v>198</v>
      </c>
      <c r="E362" s="39">
        <v>487000</v>
      </c>
      <c r="F362" s="40" t="s">
        <v>191</v>
      </c>
    </row>
    <row r="363" spans="2:6" hidden="1">
      <c r="B363" s="8">
        <v>360</v>
      </c>
      <c r="C363" s="8" t="s">
        <v>638</v>
      </c>
      <c r="D363" s="8" t="s">
        <v>498</v>
      </c>
      <c r="E363" s="39">
        <v>302000</v>
      </c>
      <c r="F363" s="40" t="s">
        <v>191</v>
      </c>
    </row>
    <row r="364" spans="2:6" hidden="1">
      <c r="B364" s="8">
        <v>361</v>
      </c>
      <c r="C364" s="8" t="s">
        <v>638</v>
      </c>
      <c r="D364" s="8" t="s">
        <v>198</v>
      </c>
      <c r="E364" s="39">
        <v>373000</v>
      </c>
      <c r="F364" s="40" t="s">
        <v>191</v>
      </c>
    </row>
    <row r="365" spans="2:6" hidden="1">
      <c r="B365" s="8">
        <v>362</v>
      </c>
      <c r="C365" s="8" t="s">
        <v>639</v>
      </c>
      <c r="D365" s="8" t="s">
        <v>640</v>
      </c>
      <c r="E365" s="39">
        <v>439000</v>
      </c>
      <c r="F365" s="40" t="s">
        <v>191</v>
      </c>
    </row>
    <row r="366" spans="2:6" hidden="1">
      <c r="B366" s="8">
        <v>363</v>
      </c>
      <c r="C366" s="8" t="s">
        <v>639</v>
      </c>
      <c r="D366" s="8" t="s">
        <v>217</v>
      </c>
      <c r="E366" s="39">
        <v>572000</v>
      </c>
      <c r="F366" s="40" t="s">
        <v>191</v>
      </c>
    </row>
    <row r="367" spans="2:6" hidden="1">
      <c r="B367" s="8">
        <v>364</v>
      </c>
      <c r="C367" s="8" t="s">
        <v>639</v>
      </c>
      <c r="D367" s="8" t="s">
        <v>339</v>
      </c>
      <c r="E367" s="39">
        <v>218000</v>
      </c>
      <c r="F367" s="40" t="s">
        <v>191</v>
      </c>
    </row>
    <row r="368" spans="2:6" hidden="1">
      <c r="B368" s="8">
        <v>365</v>
      </c>
      <c r="C368" s="8" t="s">
        <v>639</v>
      </c>
      <c r="D368" s="8" t="s">
        <v>641</v>
      </c>
      <c r="E368" s="39">
        <v>434000</v>
      </c>
      <c r="F368" s="40" t="s">
        <v>191</v>
      </c>
    </row>
    <row r="369" spans="2:6" hidden="1">
      <c r="B369" s="8">
        <v>366</v>
      </c>
      <c r="C369" s="8" t="s">
        <v>642</v>
      </c>
      <c r="D369" s="8" t="s">
        <v>204</v>
      </c>
      <c r="E369" s="39">
        <v>431000</v>
      </c>
      <c r="F369" s="40" t="s">
        <v>191</v>
      </c>
    </row>
    <row r="370" spans="2:6" hidden="1">
      <c r="B370" s="8">
        <v>367</v>
      </c>
      <c r="C370" s="8" t="s">
        <v>642</v>
      </c>
      <c r="D370" s="8" t="s">
        <v>643</v>
      </c>
      <c r="E370" s="39">
        <v>2786000</v>
      </c>
      <c r="F370" s="40" t="s">
        <v>191</v>
      </c>
    </row>
    <row r="371" spans="2:6" hidden="1">
      <c r="B371" s="8">
        <v>368</v>
      </c>
      <c r="C371" s="8" t="s">
        <v>642</v>
      </c>
      <c r="D371" s="8" t="s">
        <v>644</v>
      </c>
      <c r="E371" s="39">
        <v>114000</v>
      </c>
      <c r="F371" s="40" t="s">
        <v>191</v>
      </c>
    </row>
    <row r="372" spans="2:6" hidden="1">
      <c r="B372" s="8">
        <v>369</v>
      </c>
      <c r="C372" s="8" t="s">
        <v>645</v>
      </c>
      <c r="D372" s="8" t="s">
        <v>319</v>
      </c>
      <c r="E372" s="39">
        <v>230000</v>
      </c>
      <c r="F372" s="40" t="s">
        <v>191</v>
      </c>
    </row>
    <row r="373" spans="2:6" hidden="1">
      <c r="B373" s="8">
        <v>370</v>
      </c>
      <c r="C373" s="8" t="s">
        <v>646</v>
      </c>
      <c r="D373" s="8" t="s">
        <v>647</v>
      </c>
      <c r="E373" s="39">
        <v>132000</v>
      </c>
      <c r="F373" s="40" t="s">
        <v>191</v>
      </c>
    </row>
    <row r="374" spans="2:6" hidden="1">
      <c r="B374" s="8">
        <v>371</v>
      </c>
      <c r="C374" s="8" t="s">
        <v>646</v>
      </c>
      <c r="D374" s="8" t="s">
        <v>198</v>
      </c>
      <c r="E374" s="39">
        <v>60000</v>
      </c>
      <c r="F374" s="40" t="s">
        <v>191</v>
      </c>
    </row>
    <row r="375" spans="2:6" hidden="1">
      <c r="B375" s="8">
        <v>372</v>
      </c>
      <c r="C375" s="8" t="s">
        <v>646</v>
      </c>
      <c r="D375" s="8" t="s">
        <v>648</v>
      </c>
      <c r="E375" s="39">
        <v>96000</v>
      </c>
      <c r="F375" s="40" t="s">
        <v>191</v>
      </c>
    </row>
    <row r="376" spans="2:6" hidden="1">
      <c r="B376" s="8">
        <v>373</v>
      </c>
      <c r="C376" s="8" t="s">
        <v>646</v>
      </c>
      <c r="D376" s="8" t="s">
        <v>339</v>
      </c>
      <c r="E376" s="39">
        <v>98000</v>
      </c>
      <c r="F376" s="40" t="s">
        <v>191</v>
      </c>
    </row>
    <row r="377" spans="2:6" hidden="1">
      <c r="B377" s="8">
        <v>374</v>
      </c>
      <c r="C377" s="8" t="s">
        <v>649</v>
      </c>
      <c r="D377" s="8" t="s">
        <v>317</v>
      </c>
      <c r="E377" s="39">
        <v>140000</v>
      </c>
      <c r="F377" s="40" t="s">
        <v>191</v>
      </c>
    </row>
    <row r="378" spans="2:6" hidden="1">
      <c r="B378" s="8">
        <v>375</v>
      </c>
      <c r="C378" s="8" t="s">
        <v>650</v>
      </c>
      <c r="D378" s="8" t="s">
        <v>651</v>
      </c>
      <c r="E378" s="39">
        <v>199000</v>
      </c>
      <c r="F378" s="40" t="s">
        <v>191</v>
      </c>
    </row>
    <row r="379" spans="2:6" hidden="1">
      <c r="B379" s="8">
        <v>376</v>
      </c>
      <c r="C379" s="8" t="s">
        <v>650</v>
      </c>
      <c r="D379" s="8" t="s">
        <v>652</v>
      </c>
      <c r="E379" s="39">
        <v>188000</v>
      </c>
      <c r="F379" s="40" t="s">
        <v>191</v>
      </c>
    </row>
    <row r="380" spans="2:6" hidden="1">
      <c r="B380" s="8">
        <v>377</v>
      </c>
      <c r="C380" s="8" t="s">
        <v>650</v>
      </c>
      <c r="D380" s="8" t="s">
        <v>653</v>
      </c>
      <c r="E380" s="39">
        <v>4243000</v>
      </c>
      <c r="F380" s="40" t="s">
        <v>191</v>
      </c>
    </row>
    <row r="381" spans="2:6" hidden="1">
      <c r="B381" s="8">
        <v>378</v>
      </c>
      <c r="C381" s="8" t="s">
        <v>654</v>
      </c>
      <c r="D381" s="8" t="s">
        <v>655</v>
      </c>
      <c r="E381" s="39">
        <v>73000</v>
      </c>
      <c r="F381" s="40" t="s">
        <v>191</v>
      </c>
    </row>
    <row r="382" spans="2:6" hidden="1">
      <c r="B382" s="8">
        <v>379</v>
      </c>
      <c r="C382" s="8" t="s">
        <v>656</v>
      </c>
      <c r="D382" s="8" t="s">
        <v>211</v>
      </c>
      <c r="E382" s="39">
        <v>95000</v>
      </c>
      <c r="F382" s="40" t="s">
        <v>191</v>
      </c>
    </row>
    <row r="383" spans="2:6" hidden="1">
      <c r="B383" s="8">
        <v>380</v>
      </c>
      <c r="C383" s="8" t="s">
        <v>657</v>
      </c>
      <c r="D383" s="8" t="s">
        <v>356</v>
      </c>
      <c r="E383" s="39">
        <v>528000</v>
      </c>
      <c r="F383" s="40" t="s">
        <v>191</v>
      </c>
    </row>
    <row r="384" spans="2:6" hidden="1">
      <c r="B384" s="8">
        <v>381</v>
      </c>
      <c r="C384" s="8" t="s">
        <v>658</v>
      </c>
      <c r="D384" s="8" t="s">
        <v>659</v>
      </c>
      <c r="E384" s="39">
        <v>553000</v>
      </c>
      <c r="F384" s="40" t="s">
        <v>191</v>
      </c>
    </row>
    <row r="385" spans="2:6" hidden="1">
      <c r="B385" s="8">
        <v>382</v>
      </c>
      <c r="C385" s="8" t="s">
        <v>660</v>
      </c>
      <c r="D385" s="8" t="s">
        <v>211</v>
      </c>
      <c r="E385" s="39">
        <v>651000</v>
      </c>
      <c r="F385" s="40" t="s">
        <v>191</v>
      </c>
    </row>
    <row r="386" spans="2:6" hidden="1">
      <c r="B386" s="8">
        <v>383</v>
      </c>
      <c r="C386" s="8" t="s">
        <v>660</v>
      </c>
      <c r="D386" s="8" t="s">
        <v>198</v>
      </c>
      <c r="E386" s="39">
        <v>1424000</v>
      </c>
      <c r="F386" s="40" t="s">
        <v>191</v>
      </c>
    </row>
    <row r="387" spans="2:6" hidden="1">
      <c r="B387" s="8">
        <v>384</v>
      </c>
      <c r="C387" s="8" t="s">
        <v>661</v>
      </c>
      <c r="D387" s="8" t="s">
        <v>381</v>
      </c>
      <c r="E387" s="39">
        <v>96000</v>
      </c>
      <c r="F387" s="40" t="s">
        <v>191</v>
      </c>
    </row>
    <row r="388" spans="2:6" hidden="1">
      <c r="B388" s="8">
        <v>385</v>
      </c>
      <c r="C388" s="8" t="s">
        <v>662</v>
      </c>
      <c r="D388" s="8" t="s">
        <v>663</v>
      </c>
      <c r="E388" s="39">
        <v>64000</v>
      </c>
      <c r="F388" s="40" t="s">
        <v>191</v>
      </c>
    </row>
    <row r="389" spans="2:6" hidden="1">
      <c r="B389" s="8">
        <v>386</v>
      </c>
      <c r="C389" s="8" t="s">
        <v>664</v>
      </c>
      <c r="D389" s="8" t="s">
        <v>665</v>
      </c>
      <c r="E389" s="39">
        <v>384000</v>
      </c>
      <c r="F389" s="40" t="s">
        <v>191</v>
      </c>
    </row>
    <row r="390" spans="2:6" hidden="1">
      <c r="B390" s="8">
        <v>387</v>
      </c>
      <c r="C390" s="8" t="s">
        <v>664</v>
      </c>
      <c r="D390" s="8" t="s">
        <v>204</v>
      </c>
      <c r="E390" s="39">
        <v>311000</v>
      </c>
      <c r="F390" s="40" t="s">
        <v>191</v>
      </c>
    </row>
    <row r="391" spans="2:6" hidden="1">
      <c r="B391" s="8">
        <v>388</v>
      </c>
      <c r="C391" s="8" t="s">
        <v>666</v>
      </c>
      <c r="D391" s="8" t="s">
        <v>453</v>
      </c>
      <c r="E391" s="39">
        <v>195000</v>
      </c>
      <c r="F391" s="40" t="s">
        <v>191</v>
      </c>
    </row>
    <row r="392" spans="2:6" hidden="1">
      <c r="B392" s="8">
        <v>389</v>
      </c>
      <c r="C392" s="8" t="s">
        <v>667</v>
      </c>
      <c r="D392" s="8" t="s">
        <v>377</v>
      </c>
      <c r="E392" s="39">
        <v>55000</v>
      </c>
      <c r="F392" s="40" t="s">
        <v>191</v>
      </c>
    </row>
    <row r="393" spans="2:6" hidden="1">
      <c r="B393" s="8">
        <v>390</v>
      </c>
      <c r="C393" s="8" t="s">
        <v>667</v>
      </c>
      <c r="D393" s="8" t="s">
        <v>668</v>
      </c>
      <c r="E393" s="39">
        <v>160000</v>
      </c>
      <c r="F393" s="40" t="s">
        <v>191</v>
      </c>
    </row>
    <row r="394" spans="2:6" hidden="1">
      <c r="B394" s="8">
        <v>391</v>
      </c>
      <c r="C394" s="8" t="s">
        <v>669</v>
      </c>
      <c r="D394" s="8" t="s">
        <v>670</v>
      </c>
      <c r="E394" s="39">
        <v>169000</v>
      </c>
      <c r="F394" s="40" t="s">
        <v>191</v>
      </c>
    </row>
    <row r="395" spans="2:6" hidden="1">
      <c r="B395" s="8">
        <v>392</v>
      </c>
      <c r="C395" s="8" t="s">
        <v>671</v>
      </c>
      <c r="D395" s="8" t="s">
        <v>672</v>
      </c>
      <c r="E395" s="39">
        <v>491000</v>
      </c>
      <c r="F395" s="40" t="s">
        <v>191</v>
      </c>
    </row>
    <row r="396" spans="2:6" hidden="1">
      <c r="B396" s="8">
        <v>393</v>
      </c>
      <c r="C396" s="8" t="s">
        <v>673</v>
      </c>
      <c r="D396" s="8" t="s">
        <v>674</v>
      </c>
      <c r="E396" s="39">
        <v>131000</v>
      </c>
      <c r="F396" s="40" t="s">
        <v>191</v>
      </c>
    </row>
    <row r="397" spans="2:6" hidden="1">
      <c r="B397" s="8">
        <v>394</v>
      </c>
      <c r="C397" s="8" t="s">
        <v>675</v>
      </c>
      <c r="D397" s="8" t="s">
        <v>236</v>
      </c>
      <c r="E397" s="39">
        <v>55000</v>
      </c>
      <c r="F397" s="40" t="s">
        <v>191</v>
      </c>
    </row>
    <row r="398" spans="2:6" hidden="1">
      <c r="B398" s="8">
        <v>395</v>
      </c>
      <c r="C398" s="8" t="s">
        <v>676</v>
      </c>
      <c r="D398" s="8" t="s">
        <v>443</v>
      </c>
      <c r="E398" s="39">
        <v>96000</v>
      </c>
      <c r="F398" s="40" t="s">
        <v>191</v>
      </c>
    </row>
    <row r="399" spans="2:6" hidden="1">
      <c r="B399" s="8">
        <v>396</v>
      </c>
      <c r="C399" s="8" t="s">
        <v>677</v>
      </c>
      <c r="D399" s="8" t="s">
        <v>211</v>
      </c>
      <c r="E399" s="39">
        <v>86000</v>
      </c>
      <c r="F399" s="40" t="s">
        <v>191</v>
      </c>
    </row>
    <row r="400" spans="2:6" hidden="1">
      <c r="B400" s="8">
        <v>397</v>
      </c>
      <c r="C400" s="8" t="s">
        <v>678</v>
      </c>
      <c r="D400" s="8" t="s">
        <v>679</v>
      </c>
      <c r="E400" s="39">
        <v>154000</v>
      </c>
      <c r="F400" s="40" t="s">
        <v>191</v>
      </c>
    </row>
    <row r="401" spans="2:6" hidden="1">
      <c r="B401" s="8">
        <v>398</v>
      </c>
      <c r="C401" s="8" t="s">
        <v>680</v>
      </c>
      <c r="D401" s="8" t="s">
        <v>204</v>
      </c>
      <c r="E401" s="39">
        <v>86000</v>
      </c>
      <c r="F401" s="40" t="s">
        <v>191</v>
      </c>
    </row>
    <row r="402" spans="2:6" hidden="1">
      <c r="B402" s="8">
        <v>399</v>
      </c>
      <c r="C402" s="8" t="s">
        <v>680</v>
      </c>
      <c r="D402" s="8" t="s">
        <v>204</v>
      </c>
      <c r="E402" s="39">
        <v>302000</v>
      </c>
      <c r="F402" s="40" t="s">
        <v>191</v>
      </c>
    </row>
    <row r="403" spans="2:6" hidden="1">
      <c r="B403" s="8">
        <v>400</v>
      </c>
      <c r="C403" s="8" t="s">
        <v>680</v>
      </c>
      <c r="D403" s="8" t="s">
        <v>681</v>
      </c>
      <c r="E403" s="39">
        <v>845000</v>
      </c>
      <c r="F403" s="40" t="s">
        <v>191</v>
      </c>
    </row>
    <row r="404" spans="2:6" hidden="1">
      <c r="B404" s="8">
        <v>401</v>
      </c>
      <c r="C404" s="8" t="s">
        <v>682</v>
      </c>
      <c r="D404" s="8" t="s">
        <v>577</v>
      </c>
      <c r="E404" s="39">
        <v>140000</v>
      </c>
      <c r="F404" s="40" t="s">
        <v>191</v>
      </c>
    </row>
    <row r="405" spans="2:6" hidden="1">
      <c r="B405" s="8">
        <v>402</v>
      </c>
      <c r="C405" s="8" t="s">
        <v>683</v>
      </c>
      <c r="D405" s="8" t="s">
        <v>684</v>
      </c>
      <c r="E405" s="39">
        <v>123000</v>
      </c>
      <c r="F405" s="40" t="s">
        <v>191</v>
      </c>
    </row>
    <row r="406" spans="2:6" hidden="1">
      <c r="B406" s="8">
        <v>403</v>
      </c>
      <c r="C406" s="8" t="s">
        <v>685</v>
      </c>
      <c r="D406" s="8" t="s">
        <v>405</v>
      </c>
      <c r="E406" s="39">
        <v>206000</v>
      </c>
      <c r="F406" s="40" t="s">
        <v>191</v>
      </c>
    </row>
    <row r="407" spans="2:6" hidden="1">
      <c r="B407" s="8">
        <v>404</v>
      </c>
      <c r="C407" s="8" t="s">
        <v>685</v>
      </c>
      <c r="D407" s="8" t="s">
        <v>686</v>
      </c>
      <c r="E407" s="39">
        <v>66000</v>
      </c>
      <c r="F407" s="40" t="s">
        <v>191</v>
      </c>
    </row>
    <row r="408" spans="2:6" hidden="1">
      <c r="B408" s="8">
        <v>405</v>
      </c>
      <c r="C408" s="8" t="s">
        <v>687</v>
      </c>
      <c r="D408" s="8" t="s">
        <v>688</v>
      </c>
      <c r="E408" s="39">
        <v>682000</v>
      </c>
      <c r="F408" s="40" t="s">
        <v>191</v>
      </c>
    </row>
    <row r="409" spans="2:6" hidden="1">
      <c r="B409" s="8">
        <v>406</v>
      </c>
      <c r="C409" s="8" t="s">
        <v>687</v>
      </c>
      <c r="D409" s="8" t="s">
        <v>689</v>
      </c>
      <c r="E409" s="39">
        <v>241000</v>
      </c>
      <c r="F409" s="40" t="s">
        <v>191</v>
      </c>
    </row>
    <row r="410" spans="2:6" hidden="1">
      <c r="B410" s="8">
        <v>407</v>
      </c>
      <c r="C410" s="8" t="s">
        <v>687</v>
      </c>
      <c r="D410" s="8" t="s">
        <v>198</v>
      </c>
      <c r="E410" s="39">
        <v>670000</v>
      </c>
      <c r="F410" s="40" t="s">
        <v>191</v>
      </c>
    </row>
    <row r="411" spans="2:6" hidden="1">
      <c r="B411" s="8">
        <v>408</v>
      </c>
      <c r="C411" s="8" t="s">
        <v>690</v>
      </c>
      <c r="D411" s="8" t="s">
        <v>691</v>
      </c>
      <c r="E411" s="39">
        <v>287000</v>
      </c>
      <c r="F411" s="40" t="s">
        <v>191</v>
      </c>
    </row>
    <row r="412" spans="2:6" hidden="1">
      <c r="B412" s="8">
        <v>409</v>
      </c>
      <c r="C412" s="8" t="s">
        <v>692</v>
      </c>
      <c r="D412" s="8" t="s">
        <v>398</v>
      </c>
      <c r="E412" s="39">
        <v>202000</v>
      </c>
      <c r="F412" s="40" t="s">
        <v>191</v>
      </c>
    </row>
    <row r="413" spans="2:6" hidden="1">
      <c r="B413" s="8">
        <v>410</v>
      </c>
      <c r="C413" s="8" t="s">
        <v>692</v>
      </c>
      <c r="D413" s="8" t="s">
        <v>693</v>
      </c>
      <c r="E413" s="39">
        <v>226000</v>
      </c>
      <c r="F413" s="40" t="s">
        <v>191</v>
      </c>
    </row>
    <row r="414" spans="2:6" hidden="1">
      <c r="B414" s="8">
        <v>411</v>
      </c>
      <c r="C414" s="8" t="s">
        <v>694</v>
      </c>
      <c r="D414" s="8" t="s">
        <v>256</v>
      </c>
      <c r="E414" s="39">
        <v>91000</v>
      </c>
      <c r="F414" s="40" t="s">
        <v>191</v>
      </c>
    </row>
    <row r="415" spans="2:6" hidden="1">
      <c r="B415" s="8">
        <v>412</v>
      </c>
      <c r="C415" s="8" t="s">
        <v>694</v>
      </c>
      <c r="D415" s="8" t="s">
        <v>198</v>
      </c>
      <c r="E415" s="39">
        <v>318000</v>
      </c>
      <c r="F415" s="40" t="s">
        <v>191</v>
      </c>
    </row>
    <row r="416" spans="2:6" hidden="1">
      <c r="B416" s="8">
        <v>413</v>
      </c>
      <c r="C416" s="8" t="s">
        <v>695</v>
      </c>
      <c r="D416" s="8" t="s">
        <v>696</v>
      </c>
      <c r="E416" s="39">
        <v>1380000</v>
      </c>
      <c r="F416" s="40" t="s">
        <v>191</v>
      </c>
    </row>
    <row r="417" spans="2:6" hidden="1">
      <c r="B417" s="8">
        <v>414</v>
      </c>
      <c r="C417" s="8" t="s">
        <v>697</v>
      </c>
      <c r="D417" s="8" t="s">
        <v>204</v>
      </c>
      <c r="E417" s="39">
        <v>252000</v>
      </c>
      <c r="F417" s="40" t="s">
        <v>191</v>
      </c>
    </row>
    <row r="418" spans="2:6" hidden="1">
      <c r="B418" s="8">
        <v>415</v>
      </c>
      <c r="C418" s="8" t="s">
        <v>698</v>
      </c>
      <c r="D418" s="8" t="s">
        <v>699</v>
      </c>
      <c r="E418" s="39">
        <v>65000</v>
      </c>
      <c r="F418" s="40" t="s">
        <v>191</v>
      </c>
    </row>
    <row r="419" spans="2:6" hidden="1">
      <c r="B419" s="8">
        <v>416</v>
      </c>
      <c r="C419" s="8" t="s">
        <v>698</v>
      </c>
      <c r="D419" s="8" t="s">
        <v>317</v>
      </c>
      <c r="E419" s="39">
        <v>371000</v>
      </c>
      <c r="F419" s="40" t="s">
        <v>191</v>
      </c>
    </row>
    <row r="420" spans="2:6" hidden="1">
      <c r="B420" s="8">
        <v>417</v>
      </c>
      <c r="C420" s="8" t="s">
        <v>700</v>
      </c>
      <c r="D420" s="8" t="s">
        <v>608</v>
      </c>
      <c r="E420" s="39">
        <v>169000</v>
      </c>
      <c r="F420" s="40" t="s">
        <v>191</v>
      </c>
    </row>
    <row r="421" spans="2:6" hidden="1">
      <c r="B421" s="8">
        <v>418</v>
      </c>
      <c r="C421" s="8" t="s">
        <v>700</v>
      </c>
      <c r="D421" s="8" t="s">
        <v>332</v>
      </c>
      <c r="E421" s="39">
        <v>207000</v>
      </c>
      <c r="F421" s="40" t="s">
        <v>191</v>
      </c>
    </row>
    <row r="422" spans="2:6" hidden="1">
      <c r="B422" s="8">
        <v>419</v>
      </c>
      <c r="C422" s="8" t="s">
        <v>701</v>
      </c>
      <c r="D422" s="8" t="s">
        <v>217</v>
      </c>
      <c r="E422" s="39">
        <v>963000</v>
      </c>
      <c r="F422" s="40" t="s">
        <v>191</v>
      </c>
    </row>
    <row r="423" spans="2:6" hidden="1">
      <c r="B423" s="8">
        <v>420</v>
      </c>
      <c r="C423" s="8" t="s">
        <v>701</v>
      </c>
      <c r="D423" s="8" t="s">
        <v>217</v>
      </c>
      <c r="E423" s="39">
        <v>670000</v>
      </c>
      <c r="F423" s="40" t="s">
        <v>191</v>
      </c>
    </row>
    <row r="424" spans="2:6" hidden="1">
      <c r="B424" s="8">
        <v>421</v>
      </c>
      <c r="C424" s="8" t="s">
        <v>702</v>
      </c>
      <c r="D424" s="8" t="s">
        <v>534</v>
      </c>
      <c r="E424" s="39">
        <v>55000</v>
      </c>
      <c r="F424" s="40" t="s">
        <v>191</v>
      </c>
    </row>
    <row r="425" spans="2:6" hidden="1">
      <c r="B425" s="8">
        <v>422</v>
      </c>
      <c r="C425" s="8" t="s">
        <v>703</v>
      </c>
      <c r="D425" s="8" t="s">
        <v>317</v>
      </c>
      <c r="E425" s="39">
        <v>77000</v>
      </c>
      <c r="F425" s="40" t="s">
        <v>191</v>
      </c>
    </row>
    <row r="426" spans="2:6" hidden="1">
      <c r="B426" s="8">
        <v>423</v>
      </c>
      <c r="C426" s="8" t="s">
        <v>703</v>
      </c>
      <c r="D426" s="8" t="s">
        <v>704</v>
      </c>
      <c r="E426" s="39">
        <v>335000</v>
      </c>
      <c r="F426" s="40" t="s">
        <v>191</v>
      </c>
    </row>
    <row r="427" spans="2:6" hidden="1">
      <c r="B427" s="8">
        <v>424</v>
      </c>
      <c r="C427" s="8" t="s">
        <v>705</v>
      </c>
      <c r="D427" s="8" t="s">
        <v>706</v>
      </c>
      <c r="E427" s="39">
        <v>55000</v>
      </c>
      <c r="F427" s="40" t="s">
        <v>191</v>
      </c>
    </row>
    <row r="428" spans="2:6" hidden="1">
      <c r="B428" s="8">
        <v>425</v>
      </c>
      <c r="C428" s="8" t="s">
        <v>707</v>
      </c>
      <c r="D428" s="8" t="s">
        <v>708</v>
      </c>
      <c r="E428" s="39">
        <v>366000</v>
      </c>
      <c r="F428" s="40" t="s">
        <v>191</v>
      </c>
    </row>
    <row r="429" spans="2:6" hidden="1">
      <c r="B429" s="8">
        <v>426</v>
      </c>
      <c r="C429" s="8" t="s">
        <v>707</v>
      </c>
      <c r="D429" s="8" t="s">
        <v>709</v>
      </c>
      <c r="E429" s="39">
        <v>694000</v>
      </c>
      <c r="F429" s="40" t="s">
        <v>191</v>
      </c>
    </row>
    <row r="430" spans="2:6" hidden="1">
      <c r="B430" s="8">
        <v>427</v>
      </c>
      <c r="C430" s="8" t="s">
        <v>707</v>
      </c>
      <c r="D430" s="8" t="s">
        <v>710</v>
      </c>
      <c r="E430" s="39">
        <v>391000</v>
      </c>
      <c r="F430" s="40" t="s">
        <v>191</v>
      </c>
    </row>
    <row r="431" spans="2:6" hidden="1">
      <c r="B431" s="8">
        <v>428</v>
      </c>
      <c r="C431" s="8" t="s">
        <v>711</v>
      </c>
      <c r="D431" s="8" t="s">
        <v>217</v>
      </c>
      <c r="E431" s="39">
        <v>670000</v>
      </c>
      <c r="F431" s="40" t="s">
        <v>191</v>
      </c>
    </row>
    <row r="432" spans="2:6" hidden="1">
      <c r="B432" s="8">
        <v>429</v>
      </c>
      <c r="C432" s="8" t="s">
        <v>712</v>
      </c>
      <c r="D432" s="8" t="s">
        <v>713</v>
      </c>
      <c r="E432" s="39">
        <v>264000</v>
      </c>
      <c r="F432" s="40" t="s">
        <v>191</v>
      </c>
    </row>
    <row r="433" spans="2:6" hidden="1">
      <c r="B433" s="8">
        <v>430</v>
      </c>
      <c r="C433" s="8" t="s">
        <v>712</v>
      </c>
      <c r="D433" s="8" t="s">
        <v>217</v>
      </c>
      <c r="E433" s="39">
        <v>670000</v>
      </c>
      <c r="F433" s="40" t="s">
        <v>191</v>
      </c>
    </row>
    <row r="434" spans="2:6" hidden="1">
      <c r="B434" s="8">
        <v>431</v>
      </c>
      <c r="C434" s="8" t="s">
        <v>712</v>
      </c>
      <c r="D434" s="8" t="s">
        <v>714</v>
      </c>
      <c r="E434" s="39">
        <v>96000</v>
      </c>
      <c r="F434" s="40" t="s">
        <v>191</v>
      </c>
    </row>
    <row r="435" spans="2:6" hidden="1">
      <c r="B435" s="8">
        <v>432</v>
      </c>
      <c r="C435" s="8" t="s">
        <v>712</v>
      </c>
      <c r="D435" s="8" t="s">
        <v>204</v>
      </c>
      <c r="E435" s="39">
        <v>928000</v>
      </c>
      <c r="F435" s="40" t="s">
        <v>191</v>
      </c>
    </row>
    <row r="436" spans="2:6" hidden="1">
      <c r="B436" s="8">
        <v>433</v>
      </c>
      <c r="C436" s="8" t="s">
        <v>712</v>
      </c>
      <c r="D436" s="8" t="s">
        <v>715</v>
      </c>
      <c r="E436" s="39">
        <v>166000</v>
      </c>
      <c r="F436" s="40" t="s">
        <v>191</v>
      </c>
    </row>
    <row r="437" spans="2:6" hidden="1">
      <c r="B437" s="8">
        <v>434</v>
      </c>
      <c r="C437" s="8" t="s">
        <v>716</v>
      </c>
      <c r="D437" s="8" t="s">
        <v>717</v>
      </c>
      <c r="E437" s="39">
        <v>150000</v>
      </c>
      <c r="F437" s="40" t="s">
        <v>191</v>
      </c>
    </row>
    <row r="438" spans="2:6" hidden="1">
      <c r="B438" s="8">
        <v>435</v>
      </c>
      <c r="C438" s="8" t="s">
        <v>718</v>
      </c>
      <c r="D438" s="8" t="s">
        <v>719</v>
      </c>
      <c r="E438" s="39">
        <v>84000</v>
      </c>
      <c r="F438" s="40" t="s">
        <v>191</v>
      </c>
    </row>
    <row r="439" spans="2:6" hidden="1">
      <c r="B439" s="8">
        <v>436</v>
      </c>
      <c r="C439" s="8" t="s">
        <v>718</v>
      </c>
      <c r="D439" s="8" t="s">
        <v>720</v>
      </c>
      <c r="E439" s="39">
        <v>193000</v>
      </c>
      <c r="F439" s="40" t="s">
        <v>191</v>
      </c>
    </row>
    <row r="440" spans="2:6" hidden="1">
      <c r="B440" s="8">
        <v>437</v>
      </c>
      <c r="C440" s="8" t="s">
        <v>718</v>
      </c>
      <c r="D440" s="8" t="s">
        <v>217</v>
      </c>
      <c r="E440" s="39">
        <v>4692000</v>
      </c>
      <c r="F440" s="40" t="s">
        <v>191</v>
      </c>
    </row>
    <row r="441" spans="2:6" hidden="1">
      <c r="B441" s="8">
        <v>438</v>
      </c>
      <c r="C441" s="8" t="s">
        <v>718</v>
      </c>
      <c r="D441" s="8" t="s">
        <v>721</v>
      </c>
      <c r="E441" s="39">
        <v>953000</v>
      </c>
      <c r="F441" s="40" t="s">
        <v>191</v>
      </c>
    </row>
    <row r="442" spans="2:6" hidden="1">
      <c r="B442" s="8">
        <v>439</v>
      </c>
      <c r="C442" s="8" t="s">
        <v>722</v>
      </c>
      <c r="D442" s="8" t="s">
        <v>204</v>
      </c>
      <c r="E442" s="39">
        <v>162000</v>
      </c>
      <c r="F442" s="40" t="s">
        <v>191</v>
      </c>
    </row>
    <row r="443" spans="2:6" hidden="1">
      <c r="B443" s="8">
        <v>440</v>
      </c>
      <c r="C443" s="8" t="s">
        <v>722</v>
      </c>
      <c r="D443" s="8" t="s">
        <v>723</v>
      </c>
      <c r="E443" s="39">
        <v>129000</v>
      </c>
      <c r="F443" s="40" t="s">
        <v>191</v>
      </c>
    </row>
    <row r="444" spans="2:6" hidden="1">
      <c r="B444" s="8">
        <v>441</v>
      </c>
      <c r="C444" s="8" t="s">
        <v>724</v>
      </c>
      <c r="D444" s="8" t="s">
        <v>725</v>
      </c>
      <c r="E444" s="39">
        <v>115000</v>
      </c>
      <c r="F444" s="40" t="s">
        <v>191</v>
      </c>
    </row>
    <row r="445" spans="2:6" hidden="1">
      <c r="B445" s="8">
        <v>442</v>
      </c>
      <c r="C445" s="8" t="s">
        <v>724</v>
      </c>
      <c r="D445" s="8" t="s">
        <v>198</v>
      </c>
      <c r="E445" s="39">
        <v>604000</v>
      </c>
      <c r="F445" s="40" t="s">
        <v>191</v>
      </c>
    </row>
    <row r="446" spans="2:6" hidden="1">
      <c r="B446" s="8">
        <v>443</v>
      </c>
      <c r="C446" s="8" t="s">
        <v>726</v>
      </c>
      <c r="D446" s="8" t="s">
        <v>727</v>
      </c>
      <c r="E446" s="39">
        <v>96000</v>
      </c>
      <c r="F446" s="40" t="s">
        <v>191</v>
      </c>
    </row>
    <row r="447" spans="2:6" hidden="1">
      <c r="B447" s="8">
        <v>444</v>
      </c>
      <c r="C447" s="8" t="s">
        <v>726</v>
      </c>
      <c r="D447" s="8" t="s">
        <v>725</v>
      </c>
      <c r="E447" s="39">
        <v>185000</v>
      </c>
      <c r="F447" s="40" t="s">
        <v>191</v>
      </c>
    </row>
    <row r="448" spans="2:6" hidden="1">
      <c r="B448" s="8">
        <v>445</v>
      </c>
      <c r="C448" s="8" t="s">
        <v>728</v>
      </c>
      <c r="D448" s="8" t="s">
        <v>729</v>
      </c>
      <c r="E448" s="39">
        <v>78000</v>
      </c>
      <c r="F448" s="40" t="s">
        <v>191</v>
      </c>
    </row>
    <row r="449" spans="2:6" hidden="1">
      <c r="B449" s="8">
        <v>446</v>
      </c>
      <c r="C449" s="8" t="s">
        <v>730</v>
      </c>
      <c r="D449" s="8" t="s">
        <v>731</v>
      </c>
      <c r="E449" s="39">
        <v>289000</v>
      </c>
      <c r="F449" s="40" t="s">
        <v>191</v>
      </c>
    </row>
    <row r="450" spans="2:6" hidden="1">
      <c r="B450" s="8">
        <v>447</v>
      </c>
      <c r="C450" s="8" t="s">
        <v>730</v>
      </c>
      <c r="D450" s="8" t="s">
        <v>732</v>
      </c>
      <c r="E450" s="39">
        <v>231000</v>
      </c>
      <c r="F450" s="40" t="s">
        <v>191</v>
      </c>
    </row>
    <row r="451" spans="2:6" hidden="1">
      <c r="B451" s="8">
        <v>448</v>
      </c>
      <c r="C451" s="8" t="s">
        <v>733</v>
      </c>
      <c r="D451" s="8" t="s">
        <v>345</v>
      </c>
      <c r="E451" s="39">
        <v>498000</v>
      </c>
      <c r="F451" s="40" t="s">
        <v>191</v>
      </c>
    </row>
    <row r="452" spans="2:6" hidden="1">
      <c r="B452" s="8">
        <v>449</v>
      </c>
      <c r="C452" s="8" t="s">
        <v>733</v>
      </c>
      <c r="D452" s="8" t="s">
        <v>217</v>
      </c>
      <c r="E452" s="39">
        <v>595000</v>
      </c>
      <c r="F452" s="40" t="s">
        <v>191</v>
      </c>
    </row>
    <row r="453" spans="2:6" hidden="1">
      <c r="B453" s="8">
        <v>450</v>
      </c>
      <c r="C453" s="8" t="s">
        <v>733</v>
      </c>
      <c r="D453" s="8" t="s">
        <v>640</v>
      </c>
      <c r="E453" s="39">
        <v>710000</v>
      </c>
      <c r="F453" s="40" t="s">
        <v>191</v>
      </c>
    </row>
    <row r="454" spans="2:6" hidden="1">
      <c r="B454" s="8">
        <v>451</v>
      </c>
      <c r="C454" s="8" t="s">
        <v>733</v>
      </c>
      <c r="D454" s="8" t="s">
        <v>734</v>
      </c>
      <c r="E454" s="39">
        <v>660000</v>
      </c>
      <c r="F454" s="40" t="s">
        <v>191</v>
      </c>
    </row>
    <row r="455" spans="2:6" hidden="1">
      <c r="B455" s="8">
        <v>452</v>
      </c>
      <c r="C455" s="8" t="s">
        <v>733</v>
      </c>
      <c r="D455" s="8" t="s">
        <v>735</v>
      </c>
      <c r="E455" s="39">
        <v>96000</v>
      </c>
      <c r="F455" s="40" t="s">
        <v>191</v>
      </c>
    </row>
    <row r="456" spans="2:6" hidden="1">
      <c r="B456" s="8">
        <v>453</v>
      </c>
      <c r="C456" s="8" t="s">
        <v>736</v>
      </c>
      <c r="D456" s="8" t="s">
        <v>737</v>
      </c>
      <c r="E456" s="39">
        <v>55000</v>
      </c>
      <c r="F456" s="40" t="s">
        <v>191</v>
      </c>
    </row>
    <row r="457" spans="2:6" hidden="1">
      <c r="B457" s="8">
        <v>454</v>
      </c>
      <c r="C457" s="8" t="s">
        <v>738</v>
      </c>
      <c r="D457" s="8" t="s">
        <v>443</v>
      </c>
      <c r="E457" s="39">
        <v>96000</v>
      </c>
      <c r="F457" s="40" t="s">
        <v>191</v>
      </c>
    </row>
    <row r="458" spans="2:6" hidden="1">
      <c r="B458" s="8">
        <v>455</v>
      </c>
      <c r="C458" s="8" t="s">
        <v>739</v>
      </c>
      <c r="D458" s="8" t="s">
        <v>217</v>
      </c>
      <c r="E458" s="39">
        <v>476000</v>
      </c>
      <c r="F458" s="40" t="s">
        <v>191</v>
      </c>
    </row>
    <row r="459" spans="2:6" hidden="1">
      <c r="B459" s="8">
        <v>456</v>
      </c>
      <c r="C459" s="8" t="s">
        <v>740</v>
      </c>
      <c r="D459" s="8" t="s">
        <v>204</v>
      </c>
      <c r="E459" s="39">
        <v>273000</v>
      </c>
      <c r="F459" s="40" t="s">
        <v>191</v>
      </c>
    </row>
    <row r="460" spans="2:6" hidden="1">
      <c r="B460" s="8">
        <v>457</v>
      </c>
      <c r="C460" s="8" t="s">
        <v>741</v>
      </c>
      <c r="D460" s="8" t="s">
        <v>659</v>
      </c>
      <c r="E460" s="39">
        <v>366000</v>
      </c>
      <c r="F460" s="40" t="s">
        <v>191</v>
      </c>
    </row>
    <row r="461" spans="2:6" hidden="1">
      <c r="B461" s="8">
        <v>458</v>
      </c>
      <c r="C461" s="8" t="s">
        <v>742</v>
      </c>
      <c r="D461" s="8" t="s">
        <v>743</v>
      </c>
      <c r="E461" s="39">
        <v>363000</v>
      </c>
      <c r="F461" s="40" t="s">
        <v>191</v>
      </c>
    </row>
    <row r="462" spans="2:6" hidden="1">
      <c r="B462" s="8">
        <v>459</v>
      </c>
      <c r="C462" s="8" t="s">
        <v>742</v>
      </c>
      <c r="D462" s="8" t="s">
        <v>648</v>
      </c>
      <c r="E462" s="39">
        <v>96000</v>
      </c>
      <c r="F462" s="40" t="s">
        <v>191</v>
      </c>
    </row>
    <row r="463" spans="2:6" hidden="1">
      <c r="B463" s="8">
        <v>460</v>
      </c>
      <c r="C463" s="8" t="s">
        <v>742</v>
      </c>
      <c r="D463" s="8" t="s">
        <v>744</v>
      </c>
      <c r="E463" s="39">
        <v>113000</v>
      </c>
      <c r="F463" s="40" t="s">
        <v>191</v>
      </c>
    </row>
    <row r="464" spans="2:6" hidden="1">
      <c r="B464" s="8">
        <v>461</v>
      </c>
      <c r="C464" s="8" t="s">
        <v>745</v>
      </c>
      <c r="D464" s="8" t="s">
        <v>204</v>
      </c>
      <c r="E464" s="39">
        <v>312000</v>
      </c>
      <c r="F464" s="40" t="s">
        <v>191</v>
      </c>
    </row>
    <row r="465" spans="2:6" hidden="1">
      <c r="B465" s="8">
        <v>462</v>
      </c>
      <c r="C465" s="8" t="s">
        <v>746</v>
      </c>
      <c r="D465" s="8" t="s">
        <v>747</v>
      </c>
      <c r="E465" s="39">
        <v>400000</v>
      </c>
      <c r="F465" s="40" t="s">
        <v>191</v>
      </c>
    </row>
    <row r="466" spans="2:6" hidden="1">
      <c r="B466" s="8">
        <v>463</v>
      </c>
      <c r="C466" s="8" t="s">
        <v>746</v>
      </c>
      <c r="D466" s="8" t="s">
        <v>748</v>
      </c>
      <c r="E466" s="39">
        <v>140000</v>
      </c>
      <c r="F466" s="40" t="s">
        <v>191</v>
      </c>
    </row>
    <row r="467" spans="2:6" hidden="1">
      <c r="B467" s="8">
        <v>464</v>
      </c>
      <c r="C467" s="8" t="s">
        <v>746</v>
      </c>
      <c r="D467" s="8" t="s">
        <v>211</v>
      </c>
      <c r="E467" s="39">
        <v>359000</v>
      </c>
      <c r="F467" s="40" t="s">
        <v>191</v>
      </c>
    </row>
    <row r="468" spans="2:6" hidden="1">
      <c r="B468" s="8">
        <v>465</v>
      </c>
      <c r="C468" s="8" t="s">
        <v>749</v>
      </c>
      <c r="D468" s="8" t="s">
        <v>750</v>
      </c>
      <c r="E468" s="39">
        <v>141000</v>
      </c>
      <c r="F468" s="40" t="s">
        <v>191</v>
      </c>
    </row>
    <row r="469" spans="2:6" hidden="1">
      <c r="B469" s="8">
        <v>466</v>
      </c>
      <c r="C469" s="8" t="s">
        <v>749</v>
      </c>
      <c r="D469" s="8" t="s">
        <v>751</v>
      </c>
      <c r="E469" s="39">
        <v>85000</v>
      </c>
      <c r="F469" s="40" t="s">
        <v>191</v>
      </c>
    </row>
    <row r="470" spans="2:6" hidden="1">
      <c r="B470" s="8">
        <v>467</v>
      </c>
      <c r="C470" s="8" t="s">
        <v>749</v>
      </c>
      <c r="D470" s="8" t="s">
        <v>752</v>
      </c>
      <c r="E470" s="39">
        <v>242000</v>
      </c>
      <c r="F470" s="40" t="s">
        <v>191</v>
      </c>
    </row>
    <row r="471" spans="2:6" hidden="1">
      <c r="B471" s="8">
        <v>468</v>
      </c>
      <c r="C471" s="8" t="s">
        <v>753</v>
      </c>
      <c r="D471" s="8" t="s">
        <v>199</v>
      </c>
      <c r="E471" s="39">
        <v>126000</v>
      </c>
      <c r="F471" s="40" t="s">
        <v>191</v>
      </c>
    </row>
    <row r="472" spans="2:6" hidden="1">
      <c r="B472" s="8">
        <v>469</v>
      </c>
      <c r="C472" s="8" t="s">
        <v>754</v>
      </c>
      <c r="D472" s="8" t="s">
        <v>755</v>
      </c>
      <c r="E472" s="39">
        <v>206000</v>
      </c>
      <c r="F472" s="40" t="s">
        <v>191</v>
      </c>
    </row>
    <row r="473" spans="2:6" hidden="1">
      <c r="B473" s="8">
        <v>470</v>
      </c>
      <c r="C473" s="8" t="s">
        <v>756</v>
      </c>
      <c r="D473" s="8" t="s">
        <v>757</v>
      </c>
      <c r="E473" s="39">
        <v>452000</v>
      </c>
      <c r="F473" s="40" t="s">
        <v>191</v>
      </c>
    </row>
    <row r="474" spans="2:6" hidden="1">
      <c r="B474" s="8">
        <v>471</v>
      </c>
      <c r="C474" s="8" t="s">
        <v>756</v>
      </c>
      <c r="D474" s="8" t="s">
        <v>758</v>
      </c>
      <c r="E474" s="39">
        <v>66000</v>
      </c>
      <c r="F474" s="40" t="s">
        <v>191</v>
      </c>
    </row>
    <row r="475" spans="2:6" hidden="1">
      <c r="B475" s="8">
        <v>472</v>
      </c>
      <c r="C475" s="8" t="s">
        <v>759</v>
      </c>
      <c r="D475" s="8" t="s">
        <v>211</v>
      </c>
      <c r="E475" s="39">
        <v>55000</v>
      </c>
      <c r="F475" s="40" t="s">
        <v>191</v>
      </c>
    </row>
    <row r="476" spans="2:6" hidden="1">
      <c r="B476" s="8">
        <v>473</v>
      </c>
      <c r="C476" s="8" t="s">
        <v>759</v>
      </c>
      <c r="D476" s="8" t="s">
        <v>199</v>
      </c>
      <c r="E476" s="39">
        <v>109000</v>
      </c>
      <c r="F476" s="40" t="s">
        <v>191</v>
      </c>
    </row>
    <row r="477" spans="2:6" hidden="1">
      <c r="B477" s="8">
        <v>474</v>
      </c>
      <c r="C477" s="8" t="s">
        <v>760</v>
      </c>
      <c r="D477" s="8" t="s">
        <v>198</v>
      </c>
      <c r="E477" s="39">
        <v>1592000</v>
      </c>
      <c r="F477" s="40" t="s">
        <v>191</v>
      </c>
    </row>
    <row r="478" spans="2:6" hidden="1">
      <c r="B478" s="8">
        <v>475</v>
      </c>
      <c r="C478" s="8" t="s">
        <v>761</v>
      </c>
      <c r="D478" s="8" t="s">
        <v>204</v>
      </c>
      <c r="E478" s="39">
        <v>303000</v>
      </c>
      <c r="F478" s="40" t="s">
        <v>191</v>
      </c>
    </row>
    <row r="479" spans="2:6" hidden="1">
      <c r="B479" s="8">
        <v>476</v>
      </c>
      <c r="C479" s="8" t="s">
        <v>761</v>
      </c>
      <c r="D479" s="8" t="s">
        <v>644</v>
      </c>
      <c r="E479" s="39">
        <v>870000</v>
      </c>
      <c r="F479" s="40" t="s">
        <v>191</v>
      </c>
    </row>
    <row r="480" spans="2:6" hidden="1">
      <c r="B480" s="8">
        <v>477</v>
      </c>
      <c r="C480" s="8" t="s">
        <v>762</v>
      </c>
      <c r="D480" s="8" t="s">
        <v>211</v>
      </c>
      <c r="E480" s="39">
        <v>437000</v>
      </c>
      <c r="F480" s="40" t="s">
        <v>191</v>
      </c>
    </row>
    <row r="481" spans="2:6" hidden="1">
      <c r="B481" s="8">
        <v>478</v>
      </c>
      <c r="C481" s="8" t="s">
        <v>763</v>
      </c>
      <c r="D481" s="8" t="s">
        <v>699</v>
      </c>
      <c r="E481" s="39">
        <v>101000</v>
      </c>
      <c r="F481" s="40" t="s">
        <v>191</v>
      </c>
    </row>
    <row r="482" spans="2:6" hidden="1">
      <c r="B482" s="8">
        <v>479</v>
      </c>
      <c r="C482" s="8" t="s">
        <v>763</v>
      </c>
      <c r="D482" s="8" t="s">
        <v>764</v>
      </c>
      <c r="E482" s="39">
        <v>354000</v>
      </c>
      <c r="F482" s="40" t="s">
        <v>191</v>
      </c>
    </row>
    <row r="483" spans="2:6" hidden="1">
      <c r="B483" s="8">
        <v>480</v>
      </c>
      <c r="C483" s="8" t="s">
        <v>765</v>
      </c>
      <c r="D483" s="8" t="s">
        <v>766</v>
      </c>
      <c r="E483" s="39">
        <v>84000</v>
      </c>
      <c r="F483" s="40" t="s">
        <v>191</v>
      </c>
    </row>
    <row r="484" spans="2:6" hidden="1">
      <c r="B484" s="8">
        <v>481</v>
      </c>
      <c r="C484" s="8" t="s">
        <v>765</v>
      </c>
      <c r="D484" s="8" t="s">
        <v>767</v>
      </c>
      <c r="E484" s="39">
        <v>114000</v>
      </c>
      <c r="F484" s="40" t="s">
        <v>191</v>
      </c>
    </row>
    <row r="485" spans="2:6" hidden="1">
      <c r="B485" s="8">
        <v>482</v>
      </c>
      <c r="C485" s="8" t="s">
        <v>768</v>
      </c>
      <c r="D485" s="8" t="s">
        <v>769</v>
      </c>
      <c r="E485" s="39">
        <v>191000</v>
      </c>
      <c r="F485" s="40" t="s">
        <v>191</v>
      </c>
    </row>
    <row r="486" spans="2:6" hidden="1">
      <c r="B486" s="8">
        <v>483</v>
      </c>
      <c r="C486" s="8" t="s">
        <v>770</v>
      </c>
      <c r="D486" s="8" t="s">
        <v>204</v>
      </c>
      <c r="E486" s="39">
        <v>494000</v>
      </c>
      <c r="F486" s="40" t="s">
        <v>191</v>
      </c>
    </row>
    <row r="487" spans="2:6" hidden="1">
      <c r="B487" s="8">
        <v>484</v>
      </c>
      <c r="C487" s="8" t="s">
        <v>771</v>
      </c>
      <c r="D487" s="8" t="s">
        <v>198</v>
      </c>
      <c r="E487" s="39">
        <v>489000</v>
      </c>
      <c r="F487" s="40" t="s">
        <v>191</v>
      </c>
    </row>
    <row r="488" spans="2:6" hidden="1">
      <c r="B488" s="8">
        <v>485</v>
      </c>
      <c r="C488" s="8" t="s">
        <v>772</v>
      </c>
      <c r="D488" s="8" t="s">
        <v>198</v>
      </c>
      <c r="E488" s="39">
        <v>1634000</v>
      </c>
      <c r="F488" s="40" t="s">
        <v>191</v>
      </c>
    </row>
    <row r="489" spans="2:6" hidden="1">
      <c r="B489" s="8">
        <v>486</v>
      </c>
      <c r="C489" s="8" t="s">
        <v>773</v>
      </c>
      <c r="D489" s="8" t="s">
        <v>774</v>
      </c>
      <c r="E489" s="39">
        <v>244000</v>
      </c>
      <c r="F489" s="40" t="s">
        <v>191</v>
      </c>
    </row>
    <row r="490" spans="2:6" hidden="1">
      <c r="B490" s="8">
        <v>487</v>
      </c>
      <c r="C490" s="8" t="s">
        <v>773</v>
      </c>
      <c r="D490" s="8" t="s">
        <v>775</v>
      </c>
      <c r="E490" s="39">
        <v>448000</v>
      </c>
      <c r="F490" s="40" t="s">
        <v>191</v>
      </c>
    </row>
    <row r="491" spans="2:6" hidden="1">
      <c r="B491" s="8">
        <v>488</v>
      </c>
      <c r="C491" s="8" t="s">
        <v>776</v>
      </c>
      <c r="D491" s="8" t="s">
        <v>211</v>
      </c>
      <c r="E491" s="39">
        <v>302000</v>
      </c>
      <c r="F491" s="40" t="s">
        <v>191</v>
      </c>
    </row>
    <row r="492" spans="2:6" hidden="1">
      <c r="B492" s="8">
        <v>489</v>
      </c>
      <c r="C492" s="8" t="s">
        <v>777</v>
      </c>
      <c r="D492" s="8" t="s">
        <v>778</v>
      </c>
      <c r="E492" s="39">
        <v>10490000</v>
      </c>
      <c r="F492" s="40" t="s">
        <v>191</v>
      </c>
    </row>
    <row r="493" spans="2:6" hidden="1">
      <c r="B493" s="8">
        <v>490</v>
      </c>
      <c r="C493" s="8" t="s">
        <v>779</v>
      </c>
      <c r="D493" s="8" t="s">
        <v>204</v>
      </c>
      <c r="E493" s="39">
        <v>448000</v>
      </c>
      <c r="F493" s="40" t="s">
        <v>191</v>
      </c>
    </row>
    <row r="494" spans="2:6" hidden="1">
      <c r="B494" s="8">
        <v>491</v>
      </c>
      <c r="C494" s="8" t="s">
        <v>779</v>
      </c>
      <c r="D494" s="8" t="s">
        <v>780</v>
      </c>
      <c r="E494" s="39">
        <v>72000</v>
      </c>
      <c r="F494" s="40" t="s">
        <v>191</v>
      </c>
    </row>
    <row r="495" spans="2:6" hidden="1">
      <c r="B495" s="8">
        <v>492</v>
      </c>
      <c r="C495" s="8" t="s">
        <v>781</v>
      </c>
      <c r="D495" s="8" t="s">
        <v>782</v>
      </c>
      <c r="E495" s="39">
        <v>726000</v>
      </c>
      <c r="F495" s="40" t="s">
        <v>191</v>
      </c>
    </row>
    <row r="496" spans="2:6" hidden="1">
      <c r="B496" s="8">
        <v>493</v>
      </c>
      <c r="C496" s="8" t="s">
        <v>781</v>
      </c>
      <c r="D496" s="8" t="s">
        <v>548</v>
      </c>
      <c r="E496" s="39">
        <v>66000</v>
      </c>
      <c r="F496" s="40" t="s">
        <v>191</v>
      </c>
    </row>
    <row r="497" spans="2:6" hidden="1">
      <c r="B497" s="8">
        <v>494</v>
      </c>
      <c r="C497" s="8" t="s">
        <v>781</v>
      </c>
      <c r="D497" s="8" t="s">
        <v>783</v>
      </c>
      <c r="E497" s="39">
        <v>92000</v>
      </c>
      <c r="F497" s="40" t="s">
        <v>191</v>
      </c>
    </row>
    <row r="498" spans="2:6" hidden="1">
      <c r="B498" s="8">
        <v>495</v>
      </c>
      <c r="C498" s="8" t="s">
        <v>781</v>
      </c>
      <c r="D498" s="8" t="s">
        <v>784</v>
      </c>
      <c r="E498" s="39">
        <v>288000</v>
      </c>
      <c r="F498" s="40" t="s">
        <v>191</v>
      </c>
    </row>
    <row r="499" spans="2:6" hidden="1">
      <c r="B499" s="8">
        <v>496</v>
      </c>
      <c r="C499" s="8" t="s">
        <v>785</v>
      </c>
      <c r="D499" s="8" t="s">
        <v>317</v>
      </c>
      <c r="E499" s="39">
        <v>177000</v>
      </c>
      <c r="F499" s="40" t="s">
        <v>191</v>
      </c>
    </row>
    <row r="500" spans="2:6" hidden="1">
      <c r="B500" s="8">
        <v>497</v>
      </c>
      <c r="C500" s="8" t="s">
        <v>786</v>
      </c>
      <c r="D500" s="8" t="s">
        <v>787</v>
      </c>
      <c r="E500" s="39">
        <v>199000</v>
      </c>
      <c r="F500" s="40" t="s">
        <v>191</v>
      </c>
    </row>
    <row r="501" spans="2:6" hidden="1">
      <c r="B501" s="8">
        <v>498</v>
      </c>
      <c r="C501" s="8" t="s">
        <v>788</v>
      </c>
      <c r="D501" s="8" t="s">
        <v>789</v>
      </c>
      <c r="E501" s="39">
        <v>123000</v>
      </c>
      <c r="F501" s="40" t="s">
        <v>191</v>
      </c>
    </row>
    <row r="502" spans="2:6" hidden="1">
      <c r="B502" s="8">
        <v>499</v>
      </c>
      <c r="C502" s="8" t="s">
        <v>788</v>
      </c>
      <c r="D502" s="8" t="s">
        <v>211</v>
      </c>
      <c r="E502" s="39">
        <v>319000</v>
      </c>
      <c r="F502" s="40" t="s">
        <v>191</v>
      </c>
    </row>
    <row r="503" spans="2:6" hidden="1">
      <c r="B503" s="8">
        <v>500</v>
      </c>
      <c r="C503" s="8" t="s">
        <v>790</v>
      </c>
      <c r="D503" s="8" t="s">
        <v>791</v>
      </c>
      <c r="E503" s="39">
        <v>302000</v>
      </c>
      <c r="F503" s="40" t="s">
        <v>191</v>
      </c>
    </row>
    <row r="504" spans="2:6" hidden="1">
      <c r="B504" s="8">
        <v>501</v>
      </c>
      <c r="C504" s="8" t="s">
        <v>790</v>
      </c>
      <c r="D504" s="8" t="s">
        <v>204</v>
      </c>
      <c r="E504" s="39">
        <v>293000</v>
      </c>
      <c r="F504" s="40" t="s">
        <v>191</v>
      </c>
    </row>
    <row r="505" spans="2:6" hidden="1">
      <c r="B505" s="8">
        <v>502</v>
      </c>
      <c r="C505" s="8" t="s">
        <v>790</v>
      </c>
      <c r="D505" s="8" t="s">
        <v>792</v>
      </c>
      <c r="E505" s="39">
        <v>76000</v>
      </c>
      <c r="F505" s="40" t="s">
        <v>191</v>
      </c>
    </row>
    <row r="506" spans="2:6" hidden="1">
      <c r="B506" s="8">
        <v>503</v>
      </c>
      <c r="C506" s="8" t="s">
        <v>793</v>
      </c>
      <c r="D506" s="8" t="s">
        <v>794</v>
      </c>
      <c r="E506" s="39">
        <v>804000</v>
      </c>
      <c r="F506" s="40" t="s">
        <v>191</v>
      </c>
    </row>
    <row r="507" spans="2:6" hidden="1">
      <c r="B507" s="8">
        <v>504</v>
      </c>
      <c r="C507" s="8" t="s">
        <v>793</v>
      </c>
      <c r="D507" s="8" t="s">
        <v>795</v>
      </c>
      <c r="E507" s="39">
        <v>95000</v>
      </c>
      <c r="F507" s="40" t="s">
        <v>191</v>
      </c>
    </row>
    <row r="508" spans="2:6" hidden="1">
      <c r="B508" s="8">
        <v>505</v>
      </c>
      <c r="C508" s="8" t="s">
        <v>796</v>
      </c>
      <c r="D508" s="8" t="s">
        <v>204</v>
      </c>
      <c r="E508" s="39">
        <v>236000</v>
      </c>
      <c r="F508" s="40" t="s">
        <v>191</v>
      </c>
    </row>
    <row r="509" spans="2:6" hidden="1">
      <c r="B509" s="8">
        <v>506</v>
      </c>
      <c r="C509" s="8" t="s">
        <v>797</v>
      </c>
      <c r="D509" s="8" t="s">
        <v>798</v>
      </c>
      <c r="E509" s="39">
        <v>417000</v>
      </c>
      <c r="F509" s="40" t="s">
        <v>191</v>
      </c>
    </row>
    <row r="510" spans="2:6" hidden="1">
      <c r="B510" s="8">
        <v>507</v>
      </c>
      <c r="C510" s="8" t="s">
        <v>799</v>
      </c>
      <c r="D510" s="8" t="s">
        <v>800</v>
      </c>
      <c r="E510" s="39">
        <v>107000</v>
      </c>
      <c r="F510" s="40" t="s">
        <v>191</v>
      </c>
    </row>
    <row r="511" spans="2:6" hidden="1">
      <c r="B511" s="8">
        <v>508</v>
      </c>
      <c r="C511" s="8" t="s">
        <v>801</v>
      </c>
      <c r="D511" s="8" t="s">
        <v>684</v>
      </c>
      <c r="E511" s="39">
        <v>94000</v>
      </c>
      <c r="F511" s="40" t="s">
        <v>191</v>
      </c>
    </row>
    <row r="512" spans="2:6" hidden="1">
      <c r="B512" s="8">
        <v>509</v>
      </c>
      <c r="C512" s="8" t="s">
        <v>801</v>
      </c>
      <c r="D512" s="8" t="s">
        <v>802</v>
      </c>
      <c r="E512" s="39">
        <v>55000</v>
      </c>
      <c r="F512" s="40" t="s">
        <v>191</v>
      </c>
    </row>
    <row r="513" spans="2:6" hidden="1">
      <c r="B513" s="8">
        <v>510</v>
      </c>
      <c r="C513" s="8" t="s">
        <v>803</v>
      </c>
      <c r="D513" s="8" t="s">
        <v>598</v>
      </c>
      <c r="E513" s="39">
        <v>452000</v>
      </c>
      <c r="F513" s="40" t="s">
        <v>191</v>
      </c>
    </row>
    <row r="514" spans="2:6" hidden="1">
      <c r="B514" s="8">
        <v>511</v>
      </c>
      <c r="C514" s="8" t="s">
        <v>803</v>
      </c>
      <c r="D514" s="8" t="s">
        <v>804</v>
      </c>
      <c r="E514" s="39">
        <v>352000</v>
      </c>
      <c r="F514" s="40" t="s">
        <v>191</v>
      </c>
    </row>
    <row r="515" spans="2:6" hidden="1">
      <c r="B515" s="8">
        <v>512</v>
      </c>
      <c r="C515" s="8" t="s">
        <v>803</v>
      </c>
      <c r="D515" s="8" t="s">
        <v>805</v>
      </c>
      <c r="E515" s="39">
        <v>60000</v>
      </c>
      <c r="F515" s="40" t="s">
        <v>191</v>
      </c>
    </row>
    <row r="516" spans="2:6" hidden="1">
      <c r="B516" s="8">
        <v>513</v>
      </c>
      <c r="C516" s="8" t="s">
        <v>806</v>
      </c>
      <c r="D516" s="8" t="s">
        <v>807</v>
      </c>
      <c r="E516" s="39">
        <v>236000</v>
      </c>
      <c r="F516" s="40" t="s">
        <v>191</v>
      </c>
    </row>
    <row r="517" spans="2:6" hidden="1">
      <c r="B517" s="8">
        <v>514</v>
      </c>
      <c r="C517" s="8" t="s">
        <v>806</v>
      </c>
      <c r="D517" s="8" t="s">
        <v>808</v>
      </c>
      <c r="E517" s="39">
        <v>215000</v>
      </c>
      <c r="F517" s="40" t="s">
        <v>191</v>
      </c>
    </row>
    <row r="518" spans="2:6" hidden="1">
      <c r="B518" s="8">
        <v>515</v>
      </c>
      <c r="C518" s="8" t="s">
        <v>806</v>
      </c>
      <c r="D518" s="8" t="s">
        <v>204</v>
      </c>
      <c r="E518" s="39">
        <v>413000</v>
      </c>
      <c r="F518" s="40" t="s">
        <v>191</v>
      </c>
    </row>
    <row r="519" spans="2:6" hidden="1">
      <c r="B519" s="8">
        <v>516</v>
      </c>
      <c r="C519" s="8" t="s">
        <v>806</v>
      </c>
      <c r="D519" s="8" t="s">
        <v>809</v>
      </c>
      <c r="E519" s="39">
        <v>74000</v>
      </c>
      <c r="F519" s="40" t="s">
        <v>191</v>
      </c>
    </row>
    <row r="520" spans="2:6" hidden="1">
      <c r="B520" s="8">
        <v>517</v>
      </c>
      <c r="C520" s="8" t="s">
        <v>810</v>
      </c>
      <c r="D520" s="8" t="s">
        <v>811</v>
      </c>
      <c r="E520" s="39">
        <v>55000</v>
      </c>
      <c r="F520" s="40" t="s">
        <v>191</v>
      </c>
    </row>
    <row r="521" spans="2:6" hidden="1">
      <c r="B521" s="8">
        <v>518</v>
      </c>
      <c r="C521" s="8" t="s">
        <v>812</v>
      </c>
      <c r="D521" s="8" t="s">
        <v>198</v>
      </c>
      <c r="E521" s="39">
        <v>487000</v>
      </c>
      <c r="F521" s="40" t="s">
        <v>191</v>
      </c>
    </row>
    <row r="522" spans="2:6" hidden="1">
      <c r="B522" s="8">
        <v>519</v>
      </c>
      <c r="C522" s="8" t="s">
        <v>812</v>
      </c>
      <c r="D522" s="8" t="s">
        <v>813</v>
      </c>
      <c r="E522" s="39">
        <v>66000</v>
      </c>
      <c r="F522" s="40" t="s">
        <v>191</v>
      </c>
    </row>
    <row r="523" spans="2:6" hidden="1">
      <c r="B523" s="8">
        <v>520</v>
      </c>
      <c r="C523" s="8" t="s">
        <v>812</v>
      </c>
      <c r="D523" s="8" t="s">
        <v>814</v>
      </c>
      <c r="E523" s="39">
        <v>111000</v>
      </c>
      <c r="F523" s="40" t="s">
        <v>191</v>
      </c>
    </row>
    <row r="524" spans="2:6" hidden="1">
      <c r="B524" s="8">
        <v>521</v>
      </c>
      <c r="C524" s="8" t="s">
        <v>815</v>
      </c>
      <c r="D524" s="8" t="s">
        <v>247</v>
      </c>
      <c r="E524" s="39">
        <v>55000</v>
      </c>
      <c r="F524" s="40" t="s">
        <v>191</v>
      </c>
    </row>
    <row r="525" spans="2:6" hidden="1">
      <c r="B525" s="8">
        <v>522</v>
      </c>
      <c r="C525" s="8" t="s">
        <v>816</v>
      </c>
      <c r="D525" s="8" t="s">
        <v>198</v>
      </c>
      <c r="E525" s="39">
        <v>1005000</v>
      </c>
      <c r="F525" s="40" t="s">
        <v>191</v>
      </c>
    </row>
    <row r="526" spans="2:6" hidden="1">
      <c r="B526" s="8">
        <v>523</v>
      </c>
      <c r="C526" s="8" t="s">
        <v>816</v>
      </c>
      <c r="D526" s="8" t="s">
        <v>198</v>
      </c>
      <c r="E526" s="39">
        <v>670000</v>
      </c>
      <c r="F526" s="40" t="s">
        <v>191</v>
      </c>
    </row>
    <row r="527" spans="2:6" hidden="1">
      <c r="B527" s="8">
        <v>524</v>
      </c>
      <c r="C527" s="8" t="s">
        <v>817</v>
      </c>
      <c r="D527" s="8" t="s">
        <v>818</v>
      </c>
      <c r="E527" s="39">
        <v>130000</v>
      </c>
      <c r="F527" s="40" t="s">
        <v>191</v>
      </c>
    </row>
    <row r="528" spans="2:6" hidden="1">
      <c r="B528" s="8">
        <v>525</v>
      </c>
      <c r="C528" s="8" t="s">
        <v>817</v>
      </c>
      <c r="D528" s="8" t="s">
        <v>648</v>
      </c>
      <c r="E528" s="39">
        <v>169000</v>
      </c>
      <c r="F528" s="40" t="s">
        <v>191</v>
      </c>
    </row>
    <row r="529" spans="2:6" hidden="1">
      <c r="B529" s="8">
        <v>526</v>
      </c>
      <c r="C529" s="8" t="s">
        <v>817</v>
      </c>
      <c r="D529" s="8" t="s">
        <v>819</v>
      </c>
      <c r="E529" s="39">
        <v>129000</v>
      </c>
      <c r="F529" s="40" t="s">
        <v>191</v>
      </c>
    </row>
    <row r="530" spans="2:6" hidden="1">
      <c r="B530" s="8">
        <v>527</v>
      </c>
      <c r="C530" s="8" t="s">
        <v>820</v>
      </c>
      <c r="D530" s="8" t="s">
        <v>256</v>
      </c>
      <c r="E530" s="39">
        <v>175000</v>
      </c>
      <c r="F530" s="40" t="s">
        <v>191</v>
      </c>
    </row>
    <row r="531" spans="2:6" hidden="1">
      <c r="B531" s="8">
        <v>528</v>
      </c>
      <c r="C531" s="8" t="s">
        <v>821</v>
      </c>
      <c r="D531" s="8" t="s">
        <v>822</v>
      </c>
      <c r="E531" s="39">
        <v>192000</v>
      </c>
      <c r="F531" s="40" t="s">
        <v>191</v>
      </c>
    </row>
    <row r="532" spans="2:6" hidden="1">
      <c r="B532" s="8">
        <v>529</v>
      </c>
      <c r="C532" s="8" t="s">
        <v>821</v>
      </c>
      <c r="D532" s="8" t="s">
        <v>823</v>
      </c>
      <c r="E532" s="39">
        <v>120000</v>
      </c>
      <c r="F532" s="40" t="s">
        <v>191</v>
      </c>
    </row>
    <row r="533" spans="2:6" hidden="1">
      <c r="B533" s="8">
        <v>530</v>
      </c>
      <c r="C533" s="8" t="s">
        <v>821</v>
      </c>
      <c r="D533" s="8" t="s">
        <v>824</v>
      </c>
      <c r="E533" s="39">
        <v>3016000</v>
      </c>
      <c r="F533" s="40" t="s">
        <v>191</v>
      </c>
    </row>
    <row r="534" spans="2:6" hidden="1">
      <c r="B534" s="8">
        <v>531</v>
      </c>
      <c r="C534" s="8" t="s">
        <v>825</v>
      </c>
      <c r="D534" s="8" t="s">
        <v>317</v>
      </c>
      <c r="E534" s="39">
        <v>230000</v>
      </c>
      <c r="F534" s="40" t="s">
        <v>191</v>
      </c>
    </row>
    <row r="535" spans="2:6" hidden="1">
      <c r="B535" s="8">
        <v>532</v>
      </c>
      <c r="C535" s="8" t="s">
        <v>825</v>
      </c>
      <c r="D535" s="8" t="s">
        <v>198</v>
      </c>
      <c r="E535" s="39">
        <v>2136000</v>
      </c>
      <c r="F535" s="40" t="s">
        <v>191</v>
      </c>
    </row>
    <row r="536" spans="2:6" hidden="1">
      <c r="B536" s="8">
        <v>533</v>
      </c>
      <c r="C536" s="8" t="s">
        <v>826</v>
      </c>
      <c r="D536" s="8" t="s">
        <v>769</v>
      </c>
      <c r="E536" s="39">
        <v>268000</v>
      </c>
      <c r="F536" s="40" t="s">
        <v>191</v>
      </c>
    </row>
    <row r="537" spans="2:6" hidden="1">
      <c r="B537" s="8">
        <v>534</v>
      </c>
      <c r="C537" s="8" t="s">
        <v>826</v>
      </c>
      <c r="D537" s="8" t="s">
        <v>198</v>
      </c>
      <c r="E537" s="39">
        <v>716000</v>
      </c>
      <c r="F537" s="40" t="s">
        <v>191</v>
      </c>
    </row>
    <row r="538" spans="2:6" hidden="1">
      <c r="B538" s="8">
        <v>535</v>
      </c>
      <c r="C538" s="8" t="s">
        <v>827</v>
      </c>
      <c r="D538" s="8" t="s">
        <v>828</v>
      </c>
      <c r="E538" s="39">
        <v>311000</v>
      </c>
      <c r="F538" s="40" t="s">
        <v>191</v>
      </c>
    </row>
    <row r="539" spans="2:6" hidden="1">
      <c r="B539" s="8">
        <v>536</v>
      </c>
      <c r="C539" s="8" t="s">
        <v>827</v>
      </c>
      <c r="D539" s="8" t="s">
        <v>829</v>
      </c>
      <c r="E539" s="39">
        <v>273000</v>
      </c>
      <c r="F539" s="40" t="s">
        <v>191</v>
      </c>
    </row>
    <row r="540" spans="2:6" hidden="1">
      <c r="B540" s="8">
        <v>537</v>
      </c>
      <c r="C540" s="8" t="s">
        <v>827</v>
      </c>
      <c r="D540" s="8" t="s">
        <v>320</v>
      </c>
      <c r="E540" s="39">
        <v>130000</v>
      </c>
      <c r="F540" s="40" t="s">
        <v>191</v>
      </c>
    </row>
    <row r="541" spans="2:6" hidden="1">
      <c r="B541" s="8">
        <v>538</v>
      </c>
      <c r="C541" s="8" t="s">
        <v>827</v>
      </c>
      <c r="D541" s="8" t="s">
        <v>830</v>
      </c>
      <c r="E541" s="39">
        <v>93000</v>
      </c>
      <c r="F541" s="40" t="s">
        <v>191</v>
      </c>
    </row>
    <row r="542" spans="2:6" hidden="1">
      <c r="B542" s="8">
        <v>539</v>
      </c>
      <c r="C542" s="8" t="s">
        <v>831</v>
      </c>
      <c r="D542" s="8" t="s">
        <v>699</v>
      </c>
      <c r="E542" s="39">
        <v>158000</v>
      </c>
      <c r="F542" s="40" t="s">
        <v>191</v>
      </c>
    </row>
    <row r="543" spans="2:6" hidden="1">
      <c r="B543" s="8">
        <v>540</v>
      </c>
      <c r="C543" s="8" t="s">
        <v>831</v>
      </c>
      <c r="D543" s="8" t="s">
        <v>699</v>
      </c>
      <c r="E543" s="39">
        <v>148000</v>
      </c>
      <c r="F543" s="40" t="s">
        <v>191</v>
      </c>
    </row>
    <row r="544" spans="2:6" hidden="1">
      <c r="B544" s="8">
        <v>541</v>
      </c>
      <c r="C544" s="8" t="s">
        <v>831</v>
      </c>
      <c r="D544" s="8" t="s">
        <v>832</v>
      </c>
      <c r="E544" s="39">
        <v>292000</v>
      </c>
      <c r="F544" s="40" t="s">
        <v>191</v>
      </c>
    </row>
    <row r="545" spans="2:6" hidden="1">
      <c r="B545" s="8">
        <v>542</v>
      </c>
      <c r="C545" s="8" t="s">
        <v>831</v>
      </c>
      <c r="D545" s="8" t="s">
        <v>579</v>
      </c>
      <c r="E545" s="39">
        <v>86000</v>
      </c>
      <c r="F545" s="40" t="s">
        <v>191</v>
      </c>
    </row>
    <row r="546" spans="2:6" hidden="1">
      <c r="B546" s="8">
        <v>543</v>
      </c>
      <c r="C546" s="8" t="s">
        <v>833</v>
      </c>
      <c r="D546" s="8" t="s">
        <v>834</v>
      </c>
      <c r="E546" s="39">
        <v>117000</v>
      </c>
      <c r="F546" s="40" t="s">
        <v>191</v>
      </c>
    </row>
    <row r="547" spans="2:6" hidden="1">
      <c r="B547" s="8">
        <v>544</v>
      </c>
      <c r="C547" s="8" t="s">
        <v>835</v>
      </c>
      <c r="D547" s="8" t="s">
        <v>836</v>
      </c>
      <c r="E547" s="39">
        <v>12186000</v>
      </c>
      <c r="F547" s="40" t="s">
        <v>191</v>
      </c>
    </row>
    <row r="548" spans="2:6" hidden="1">
      <c r="B548" s="8">
        <v>545</v>
      </c>
      <c r="C548" s="8" t="s">
        <v>837</v>
      </c>
      <c r="D548" s="8" t="s">
        <v>838</v>
      </c>
      <c r="E548" s="39">
        <v>79000</v>
      </c>
      <c r="F548" s="40" t="s">
        <v>191</v>
      </c>
    </row>
    <row r="549" spans="2:6" hidden="1">
      <c r="B549" s="8">
        <v>546</v>
      </c>
      <c r="C549" s="8" t="s">
        <v>839</v>
      </c>
      <c r="D549" s="8" t="s">
        <v>840</v>
      </c>
      <c r="E549" s="39">
        <v>590000</v>
      </c>
      <c r="F549" s="40" t="s">
        <v>191</v>
      </c>
    </row>
    <row r="550" spans="2:6" hidden="1">
      <c r="B550" s="8">
        <v>547</v>
      </c>
      <c r="C550" s="8" t="s">
        <v>839</v>
      </c>
      <c r="D550" s="8" t="s">
        <v>841</v>
      </c>
      <c r="E550" s="39">
        <v>154000</v>
      </c>
      <c r="F550" s="40" t="s">
        <v>191</v>
      </c>
    </row>
    <row r="551" spans="2:6" hidden="1">
      <c r="B551" s="8">
        <v>548</v>
      </c>
      <c r="C551" s="8" t="s">
        <v>839</v>
      </c>
      <c r="D551" s="8" t="s">
        <v>256</v>
      </c>
      <c r="E551" s="39">
        <v>205000</v>
      </c>
      <c r="F551" s="40" t="s">
        <v>191</v>
      </c>
    </row>
    <row r="552" spans="2:6" hidden="1">
      <c r="B552" s="8">
        <v>549</v>
      </c>
      <c r="C552" s="8" t="s">
        <v>842</v>
      </c>
      <c r="D552" s="8" t="s">
        <v>843</v>
      </c>
      <c r="E552" s="39">
        <v>123000</v>
      </c>
      <c r="F552" s="40" t="s">
        <v>191</v>
      </c>
    </row>
    <row r="553" spans="2:6" hidden="1">
      <c r="B553" s="8">
        <v>550</v>
      </c>
      <c r="C553" s="8" t="s">
        <v>842</v>
      </c>
      <c r="D553" s="8" t="s">
        <v>844</v>
      </c>
      <c r="E553" s="39">
        <v>123000</v>
      </c>
      <c r="F553" s="40" t="s">
        <v>191</v>
      </c>
    </row>
    <row r="554" spans="2:6" hidden="1">
      <c r="B554" s="8">
        <v>551</v>
      </c>
      <c r="C554" s="8" t="s">
        <v>845</v>
      </c>
      <c r="D554" s="8" t="s">
        <v>317</v>
      </c>
      <c r="E554" s="39">
        <v>180000</v>
      </c>
      <c r="F554" s="40" t="s">
        <v>191</v>
      </c>
    </row>
    <row r="555" spans="2:6" hidden="1">
      <c r="B555" s="8">
        <v>552</v>
      </c>
      <c r="C555" s="8" t="s">
        <v>846</v>
      </c>
      <c r="D555" s="8" t="s">
        <v>847</v>
      </c>
      <c r="E555" s="39">
        <v>221000</v>
      </c>
      <c r="F555" s="40" t="s">
        <v>191</v>
      </c>
    </row>
    <row r="556" spans="2:6" hidden="1">
      <c r="B556" s="8">
        <v>553</v>
      </c>
      <c r="C556" s="8" t="s">
        <v>846</v>
      </c>
      <c r="D556" s="8" t="s">
        <v>291</v>
      </c>
      <c r="E556" s="39">
        <v>325000</v>
      </c>
      <c r="F556" s="40" t="s">
        <v>191</v>
      </c>
    </row>
    <row r="557" spans="2:6" hidden="1">
      <c r="B557" s="8">
        <v>554</v>
      </c>
      <c r="C557" s="8" t="s">
        <v>848</v>
      </c>
      <c r="D557" s="8" t="s">
        <v>849</v>
      </c>
      <c r="E557" s="39">
        <v>185000</v>
      </c>
      <c r="F557" s="40" t="s">
        <v>191</v>
      </c>
    </row>
    <row r="558" spans="2:6" hidden="1">
      <c r="B558" s="8">
        <v>555</v>
      </c>
      <c r="C558" s="8" t="s">
        <v>850</v>
      </c>
      <c r="D558" s="8" t="s">
        <v>211</v>
      </c>
      <c r="E558" s="39">
        <v>55000</v>
      </c>
      <c r="F558" s="40" t="s">
        <v>191</v>
      </c>
    </row>
    <row r="559" spans="2:6" hidden="1">
      <c r="B559" s="8">
        <v>556</v>
      </c>
      <c r="C559" s="8" t="s">
        <v>851</v>
      </c>
      <c r="D559" s="8" t="s">
        <v>256</v>
      </c>
      <c r="E559" s="39">
        <v>151000</v>
      </c>
      <c r="F559" s="40" t="s">
        <v>191</v>
      </c>
    </row>
    <row r="560" spans="2:6" hidden="1">
      <c r="B560" s="8">
        <v>557</v>
      </c>
      <c r="C560" s="8" t="s">
        <v>852</v>
      </c>
      <c r="D560" s="8" t="s">
        <v>319</v>
      </c>
      <c r="E560" s="39">
        <v>199000</v>
      </c>
      <c r="F560" s="40" t="s">
        <v>191</v>
      </c>
    </row>
    <row r="561" spans="2:6" hidden="1">
      <c r="B561" s="8">
        <v>558</v>
      </c>
      <c r="C561" s="8" t="s">
        <v>852</v>
      </c>
      <c r="D561" s="8" t="s">
        <v>853</v>
      </c>
      <c r="E561" s="39">
        <v>178000</v>
      </c>
      <c r="F561" s="40" t="s">
        <v>191</v>
      </c>
    </row>
    <row r="562" spans="2:6" hidden="1">
      <c r="B562" s="8">
        <v>559</v>
      </c>
      <c r="C562" s="8" t="s">
        <v>852</v>
      </c>
      <c r="D562" s="8" t="s">
        <v>838</v>
      </c>
      <c r="E562" s="39">
        <v>101000</v>
      </c>
      <c r="F562" s="40" t="s">
        <v>191</v>
      </c>
    </row>
    <row r="563" spans="2:6" hidden="1">
      <c r="B563" s="8">
        <v>560</v>
      </c>
      <c r="C563" s="8" t="s">
        <v>854</v>
      </c>
      <c r="D563" s="8" t="s">
        <v>199</v>
      </c>
      <c r="E563" s="39">
        <v>211000</v>
      </c>
      <c r="F563" s="40" t="s">
        <v>191</v>
      </c>
    </row>
    <row r="564" spans="2:6" hidden="1">
      <c r="B564" s="8">
        <v>561</v>
      </c>
      <c r="C564" s="8" t="s">
        <v>854</v>
      </c>
      <c r="D564" s="8" t="s">
        <v>775</v>
      </c>
      <c r="E564" s="39">
        <v>315000</v>
      </c>
      <c r="F564" s="40" t="s">
        <v>191</v>
      </c>
    </row>
    <row r="565" spans="2:6" hidden="1">
      <c r="B565" s="8">
        <v>562</v>
      </c>
      <c r="C565" s="8" t="s">
        <v>854</v>
      </c>
      <c r="D565" s="8" t="s">
        <v>855</v>
      </c>
      <c r="E565" s="39">
        <v>226000</v>
      </c>
      <c r="F565" s="40" t="s">
        <v>191</v>
      </c>
    </row>
    <row r="566" spans="2:6" hidden="1">
      <c r="B566" s="8">
        <v>563</v>
      </c>
      <c r="C566" s="8" t="s">
        <v>856</v>
      </c>
      <c r="D566" s="8" t="s">
        <v>857</v>
      </c>
      <c r="E566" s="39">
        <v>376000</v>
      </c>
      <c r="F566" s="40" t="s">
        <v>191</v>
      </c>
    </row>
    <row r="567" spans="2:6" hidden="1">
      <c r="B567" s="8">
        <v>564</v>
      </c>
      <c r="C567" s="8" t="s">
        <v>858</v>
      </c>
      <c r="D567" s="8" t="s">
        <v>859</v>
      </c>
      <c r="E567" s="39">
        <v>306000</v>
      </c>
      <c r="F567" s="40" t="s">
        <v>191</v>
      </c>
    </row>
    <row r="568" spans="2:6" hidden="1">
      <c r="B568" s="8">
        <v>565</v>
      </c>
      <c r="C568" s="8" t="s">
        <v>858</v>
      </c>
      <c r="D568" s="8" t="s">
        <v>317</v>
      </c>
      <c r="E568" s="39">
        <v>34000</v>
      </c>
      <c r="F568" s="40" t="s">
        <v>191</v>
      </c>
    </row>
    <row r="569" spans="2:6" hidden="1">
      <c r="B569" s="8">
        <v>566</v>
      </c>
      <c r="C569" s="8" t="s">
        <v>858</v>
      </c>
      <c r="D569" s="8" t="s">
        <v>317</v>
      </c>
      <c r="E569" s="39">
        <v>261000</v>
      </c>
      <c r="F569" s="40" t="s">
        <v>191</v>
      </c>
    </row>
    <row r="570" spans="2:6" hidden="1">
      <c r="B570" s="8">
        <v>567</v>
      </c>
      <c r="C570" s="8" t="s">
        <v>858</v>
      </c>
      <c r="D570" s="8" t="s">
        <v>317</v>
      </c>
      <c r="E570" s="39">
        <v>1210000</v>
      </c>
      <c r="F570" s="40" t="s">
        <v>191</v>
      </c>
    </row>
    <row r="571" spans="2:6" hidden="1">
      <c r="B571" s="8">
        <v>568</v>
      </c>
      <c r="C571" s="8" t="s">
        <v>860</v>
      </c>
      <c r="D571" s="8" t="s">
        <v>199</v>
      </c>
      <c r="E571" s="39">
        <v>55000</v>
      </c>
      <c r="F571" s="40" t="s">
        <v>191</v>
      </c>
    </row>
    <row r="572" spans="2:6" hidden="1">
      <c r="B572" s="8">
        <v>569</v>
      </c>
      <c r="C572" s="8" t="s">
        <v>860</v>
      </c>
      <c r="D572" s="8" t="s">
        <v>861</v>
      </c>
      <c r="E572" s="39">
        <v>88000</v>
      </c>
      <c r="F572" s="40" t="s">
        <v>191</v>
      </c>
    </row>
    <row r="573" spans="2:6" hidden="1">
      <c r="B573" s="8">
        <v>570</v>
      </c>
      <c r="C573" s="8" t="s">
        <v>862</v>
      </c>
      <c r="D573" s="8" t="s">
        <v>354</v>
      </c>
      <c r="E573" s="39">
        <v>76000</v>
      </c>
      <c r="F573" s="40" t="s">
        <v>191</v>
      </c>
    </row>
    <row r="574" spans="2:6" hidden="1">
      <c r="B574" s="8">
        <v>571</v>
      </c>
      <c r="C574" s="8" t="s">
        <v>863</v>
      </c>
      <c r="D574" s="8" t="s">
        <v>709</v>
      </c>
      <c r="E574" s="39">
        <v>1447000</v>
      </c>
      <c r="F574" s="40" t="s">
        <v>191</v>
      </c>
    </row>
    <row r="575" spans="2:6" hidden="1">
      <c r="B575" s="8">
        <v>572</v>
      </c>
      <c r="C575" s="8" t="s">
        <v>863</v>
      </c>
      <c r="D575" s="8" t="s">
        <v>864</v>
      </c>
      <c r="E575" s="39">
        <v>1382000</v>
      </c>
      <c r="F575" s="40" t="s">
        <v>191</v>
      </c>
    </row>
    <row r="576" spans="2:6" hidden="1">
      <c r="B576" s="8">
        <v>573</v>
      </c>
      <c r="C576" s="8" t="s">
        <v>865</v>
      </c>
      <c r="D576" s="8" t="s">
        <v>217</v>
      </c>
      <c r="E576" s="39">
        <v>979000</v>
      </c>
      <c r="F576" s="40" t="s">
        <v>191</v>
      </c>
    </row>
    <row r="577" spans="2:6" hidden="1">
      <c r="B577" s="8">
        <v>574</v>
      </c>
      <c r="C577" s="8" t="s">
        <v>866</v>
      </c>
      <c r="D577" s="8" t="s">
        <v>867</v>
      </c>
      <c r="E577" s="39">
        <v>185000</v>
      </c>
      <c r="F577" s="40" t="s">
        <v>191</v>
      </c>
    </row>
    <row r="578" spans="2:6" hidden="1">
      <c r="B578" s="8">
        <v>575</v>
      </c>
      <c r="C578" s="8" t="s">
        <v>868</v>
      </c>
      <c r="D578" s="8" t="s">
        <v>608</v>
      </c>
      <c r="E578" s="39">
        <v>154000</v>
      </c>
      <c r="F578" s="40" t="s">
        <v>191</v>
      </c>
    </row>
    <row r="579" spans="2:6" hidden="1">
      <c r="B579" s="8">
        <v>576</v>
      </c>
      <c r="C579" s="8" t="s">
        <v>869</v>
      </c>
      <c r="D579" s="8" t="s">
        <v>870</v>
      </c>
      <c r="E579" s="39">
        <v>208000</v>
      </c>
      <c r="F579" s="40" t="s">
        <v>191</v>
      </c>
    </row>
    <row r="580" spans="2:6" hidden="1">
      <c r="B580" s="8">
        <v>577</v>
      </c>
      <c r="C580" s="8" t="s">
        <v>869</v>
      </c>
      <c r="D580" s="8" t="s">
        <v>871</v>
      </c>
      <c r="E580" s="39">
        <v>276000</v>
      </c>
      <c r="F580" s="40" t="s">
        <v>191</v>
      </c>
    </row>
    <row r="581" spans="2:6" hidden="1">
      <c r="B581" s="8">
        <v>578</v>
      </c>
      <c r="C581" s="8" t="s">
        <v>872</v>
      </c>
      <c r="D581" s="8" t="s">
        <v>211</v>
      </c>
      <c r="E581" s="39">
        <v>302000</v>
      </c>
      <c r="F581" s="40" t="s">
        <v>191</v>
      </c>
    </row>
    <row r="582" spans="2:6" hidden="1">
      <c r="B582" s="8">
        <v>579</v>
      </c>
      <c r="C582" s="8" t="s">
        <v>873</v>
      </c>
      <c r="D582" s="8" t="s">
        <v>198</v>
      </c>
      <c r="E582" s="39">
        <v>921000</v>
      </c>
      <c r="F582" s="40" t="s">
        <v>191</v>
      </c>
    </row>
    <row r="583" spans="2:6" hidden="1">
      <c r="B583" s="8">
        <v>580</v>
      </c>
      <c r="C583" s="8" t="s">
        <v>874</v>
      </c>
      <c r="D583" s="8" t="s">
        <v>875</v>
      </c>
      <c r="E583" s="39">
        <v>215000</v>
      </c>
      <c r="F583" s="40" t="s">
        <v>191</v>
      </c>
    </row>
    <row r="584" spans="2:6" hidden="1">
      <c r="B584" s="8">
        <v>581</v>
      </c>
      <c r="C584" s="8" t="s">
        <v>874</v>
      </c>
      <c r="D584" s="8" t="s">
        <v>876</v>
      </c>
      <c r="E584" s="39">
        <v>55000</v>
      </c>
      <c r="F584" s="40" t="s">
        <v>191</v>
      </c>
    </row>
    <row r="585" spans="2:6" hidden="1">
      <c r="B585" s="8">
        <v>582</v>
      </c>
      <c r="C585" s="8" t="s">
        <v>877</v>
      </c>
      <c r="D585" s="8" t="s">
        <v>878</v>
      </c>
      <c r="E585" s="39">
        <v>189000</v>
      </c>
      <c r="F585" s="40" t="s">
        <v>191</v>
      </c>
    </row>
    <row r="586" spans="2:6" hidden="1">
      <c r="B586" s="8">
        <v>583</v>
      </c>
      <c r="C586" s="8" t="s">
        <v>879</v>
      </c>
      <c r="D586" s="8" t="s">
        <v>880</v>
      </c>
      <c r="E586" s="39">
        <v>138000</v>
      </c>
      <c r="F586" s="40" t="s">
        <v>191</v>
      </c>
    </row>
    <row r="587" spans="2:6" hidden="1">
      <c r="B587" s="8">
        <v>584</v>
      </c>
      <c r="C587" s="8" t="s">
        <v>879</v>
      </c>
      <c r="D587" s="8" t="s">
        <v>881</v>
      </c>
      <c r="E587" s="39">
        <v>355000</v>
      </c>
      <c r="F587" s="40" t="s">
        <v>191</v>
      </c>
    </row>
    <row r="588" spans="2:6" hidden="1">
      <c r="B588" s="8">
        <v>585</v>
      </c>
      <c r="C588" s="8" t="s">
        <v>879</v>
      </c>
      <c r="D588" s="8" t="s">
        <v>882</v>
      </c>
      <c r="E588" s="39">
        <v>168000</v>
      </c>
      <c r="F588" s="40" t="s">
        <v>191</v>
      </c>
    </row>
    <row r="589" spans="2:6" hidden="1">
      <c r="B589" s="8">
        <v>586</v>
      </c>
      <c r="C589" s="8" t="s">
        <v>883</v>
      </c>
      <c r="D589" s="8" t="s">
        <v>884</v>
      </c>
      <c r="E589" s="39">
        <v>203000</v>
      </c>
      <c r="F589" s="40" t="s">
        <v>191</v>
      </c>
    </row>
    <row r="590" spans="2:6" hidden="1">
      <c r="B590" s="8">
        <v>587</v>
      </c>
      <c r="C590" s="8" t="s">
        <v>883</v>
      </c>
      <c r="D590" s="8" t="s">
        <v>885</v>
      </c>
      <c r="E590" s="39">
        <v>836000</v>
      </c>
      <c r="F590" s="40" t="s">
        <v>191</v>
      </c>
    </row>
    <row r="591" spans="2:6" hidden="1">
      <c r="B591" s="8">
        <v>588</v>
      </c>
      <c r="C591" s="8" t="s">
        <v>883</v>
      </c>
      <c r="D591" s="8" t="s">
        <v>886</v>
      </c>
      <c r="E591" s="39">
        <v>151000</v>
      </c>
      <c r="F591" s="40" t="s">
        <v>191</v>
      </c>
    </row>
    <row r="592" spans="2:6" hidden="1">
      <c r="B592" s="8">
        <v>589</v>
      </c>
      <c r="C592" s="8" t="s">
        <v>883</v>
      </c>
      <c r="D592" s="8" t="s">
        <v>887</v>
      </c>
      <c r="E592" s="39">
        <v>447000</v>
      </c>
      <c r="F592" s="40" t="s">
        <v>191</v>
      </c>
    </row>
    <row r="593" spans="2:6" hidden="1">
      <c r="B593" s="8">
        <v>590</v>
      </c>
      <c r="C593" s="8" t="s">
        <v>883</v>
      </c>
      <c r="D593" s="8" t="s">
        <v>699</v>
      </c>
      <c r="E593" s="39">
        <v>516000</v>
      </c>
      <c r="F593" s="40" t="s">
        <v>191</v>
      </c>
    </row>
    <row r="594" spans="2:6" hidden="1">
      <c r="B594" s="8">
        <v>591</v>
      </c>
      <c r="C594" s="8" t="s">
        <v>883</v>
      </c>
      <c r="D594" s="8" t="s">
        <v>888</v>
      </c>
      <c r="E594" s="39">
        <v>1300000</v>
      </c>
      <c r="F594" s="40" t="s">
        <v>191</v>
      </c>
    </row>
    <row r="595" spans="2:6" hidden="1">
      <c r="B595" s="8">
        <v>592</v>
      </c>
      <c r="C595" s="8" t="s">
        <v>889</v>
      </c>
      <c r="D595" s="8" t="s">
        <v>890</v>
      </c>
      <c r="E595" s="39">
        <v>302000</v>
      </c>
      <c r="F595" s="40" t="s">
        <v>191</v>
      </c>
    </row>
    <row r="596" spans="2:6" hidden="1">
      <c r="B596" s="8">
        <v>593</v>
      </c>
      <c r="C596" s="8" t="s">
        <v>891</v>
      </c>
      <c r="D596" s="8" t="s">
        <v>892</v>
      </c>
      <c r="E596" s="39">
        <v>111000</v>
      </c>
      <c r="F596" s="40" t="s">
        <v>191</v>
      </c>
    </row>
    <row r="597" spans="2:6" hidden="1">
      <c r="B597" s="8">
        <v>594</v>
      </c>
      <c r="C597" s="8" t="s">
        <v>893</v>
      </c>
      <c r="D597" s="8" t="s">
        <v>894</v>
      </c>
      <c r="E597" s="39">
        <v>119000</v>
      </c>
      <c r="F597" s="40" t="s">
        <v>191</v>
      </c>
    </row>
    <row r="598" spans="2:6" hidden="1">
      <c r="B598" s="8">
        <v>595</v>
      </c>
      <c r="C598" s="8" t="s">
        <v>895</v>
      </c>
      <c r="D598" s="8" t="s">
        <v>204</v>
      </c>
      <c r="E598" s="39">
        <v>260000</v>
      </c>
      <c r="F598" s="40" t="s">
        <v>191</v>
      </c>
    </row>
    <row r="599" spans="2:6" hidden="1">
      <c r="B599" s="8">
        <v>596</v>
      </c>
      <c r="C599" s="8" t="s">
        <v>896</v>
      </c>
      <c r="D599" s="8" t="s">
        <v>648</v>
      </c>
      <c r="E599" s="39">
        <v>291000</v>
      </c>
      <c r="F599" s="40" t="s">
        <v>191</v>
      </c>
    </row>
    <row r="600" spans="2:6" hidden="1">
      <c r="B600" s="8">
        <v>597</v>
      </c>
      <c r="C600" s="8" t="s">
        <v>897</v>
      </c>
      <c r="D600" s="8" t="s">
        <v>898</v>
      </c>
      <c r="E600" s="39">
        <v>55000</v>
      </c>
      <c r="F600" s="40" t="s">
        <v>191</v>
      </c>
    </row>
    <row r="601" spans="2:6" hidden="1">
      <c r="B601" s="8">
        <v>598</v>
      </c>
      <c r="C601" s="8" t="s">
        <v>897</v>
      </c>
      <c r="D601" s="8" t="s">
        <v>345</v>
      </c>
      <c r="E601" s="39">
        <v>484000</v>
      </c>
      <c r="F601" s="40" t="s">
        <v>191</v>
      </c>
    </row>
    <row r="602" spans="2:6" hidden="1">
      <c r="B602" s="8">
        <v>599</v>
      </c>
      <c r="C602" s="8" t="s">
        <v>899</v>
      </c>
      <c r="D602" s="8" t="s">
        <v>900</v>
      </c>
      <c r="E602" s="39">
        <v>113000</v>
      </c>
      <c r="F602" s="40" t="s">
        <v>191</v>
      </c>
    </row>
    <row r="603" spans="2:6" hidden="1">
      <c r="B603" s="8">
        <v>600</v>
      </c>
      <c r="C603" s="8" t="s">
        <v>901</v>
      </c>
      <c r="D603" s="8" t="s">
        <v>769</v>
      </c>
      <c r="E603" s="39">
        <v>266000</v>
      </c>
      <c r="F603" s="40" t="s">
        <v>191</v>
      </c>
    </row>
    <row r="604" spans="2:6" hidden="1">
      <c r="B604" s="8">
        <v>601</v>
      </c>
      <c r="C604" s="8" t="s">
        <v>902</v>
      </c>
      <c r="D604" s="8" t="s">
        <v>204</v>
      </c>
      <c r="E604" s="39">
        <v>418000</v>
      </c>
      <c r="F604" s="40" t="s">
        <v>191</v>
      </c>
    </row>
    <row r="605" spans="2:6" hidden="1">
      <c r="B605" s="8">
        <v>602</v>
      </c>
      <c r="C605" s="8" t="s">
        <v>902</v>
      </c>
      <c r="D605" s="8" t="s">
        <v>903</v>
      </c>
      <c r="E605" s="39">
        <v>76000</v>
      </c>
      <c r="F605" s="40" t="s">
        <v>191</v>
      </c>
    </row>
    <row r="606" spans="2:6" hidden="1">
      <c r="B606" s="8">
        <v>603</v>
      </c>
      <c r="C606" s="8" t="s">
        <v>902</v>
      </c>
      <c r="D606" s="8" t="s">
        <v>904</v>
      </c>
      <c r="E606" s="39">
        <v>96000</v>
      </c>
      <c r="F606" s="40" t="s">
        <v>191</v>
      </c>
    </row>
    <row r="607" spans="2:6" hidden="1">
      <c r="B607" s="8">
        <v>604</v>
      </c>
      <c r="C607" s="8" t="s">
        <v>902</v>
      </c>
      <c r="D607" s="8" t="s">
        <v>905</v>
      </c>
      <c r="E607" s="39">
        <v>96000</v>
      </c>
      <c r="F607" s="40" t="s">
        <v>191</v>
      </c>
    </row>
    <row r="608" spans="2:6" hidden="1">
      <c r="B608" s="8">
        <v>605</v>
      </c>
      <c r="C608" s="8" t="s">
        <v>906</v>
      </c>
      <c r="D608" s="8" t="s">
        <v>317</v>
      </c>
      <c r="E608" s="39">
        <v>283000</v>
      </c>
      <c r="F608" s="40" t="s">
        <v>191</v>
      </c>
    </row>
    <row r="609" spans="2:6" hidden="1">
      <c r="B609" s="8">
        <v>606</v>
      </c>
      <c r="C609" s="8" t="s">
        <v>906</v>
      </c>
      <c r="D609" s="8" t="s">
        <v>907</v>
      </c>
      <c r="E609" s="39">
        <v>317000</v>
      </c>
      <c r="F609" s="40" t="s">
        <v>191</v>
      </c>
    </row>
    <row r="610" spans="2:6" hidden="1">
      <c r="B610" s="8">
        <v>607</v>
      </c>
      <c r="C610" s="8" t="s">
        <v>908</v>
      </c>
      <c r="D610" s="8" t="s">
        <v>317</v>
      </c>
      <c r="E610" s="39">
        <v>259000</v>
      </c>
      <c r="F610" s="40" t="s">
        <v>191</v>
      </c>
    </row>
    <row r="611" spans="2:6" hidden="1">
      <c r="B611" s="8">
        <v>608</v>
      </c>
      <c r="C611" s="8" t="s">
        <v>908</v>
      </c>
      <c r="D611" s="8" t="s">
        <v>909</v>
      </c>
      <c r="E611" s="39">
        <v>635000</v>
      </c>
      <c r="F611" s="40" t="s">
        <v>191</v>
      </c>
    </row>
    <row r="612" spans="2:6" hidden="1">
      <c r="B612" s="8">
        <v>609</v>
      </c>
      <c r="C612" s="8" t="s">
        <v>910</v>
      </c>
      <c r="D612" s="8" t="s">
        <v>911</v>
      </c>
      <c r="E612" s="39">
        <v>123000</v>
      </c>
      <c r="F612" s="40" t="s">
        <v>191</v>
      </c>
    </row>
    <row r="613" spans="2:6" hidden="1">
      <c r="B613" s="8">
        <v>610</v>
      </c>
      <c r="C613" s="8" t="s">
        <v>910</v>
      </c>
      <c r="D613" s="8" t="s">
        <v>912</v>
      </c>
      <c r="E613" s="39">
        <v>204000</v>
      </c>
      <c r="F613" s="40" t="s">
        <v>191</v>
      </c>
    </row>
    <row r="614" spans="2:6" hidden="1">
      <c r="B614" s="8">
        <v>611</v>
      </c>
      <c r="C614" s="8" t="s">
        <v>913</v>
      </c>
      <c r="D614" s="8" t="s">
        <v>838</v>
      </c>
      <c r="E614" s="39">
        <v>101000</v>
      </c>
      <c r="F614" s="40" t="s">
        <v>191</v>
      </c>
    </row>
    <row r="615" spans="2:6" hidden="1">
      <c r="B615" s="8">
        <v>612</v>
      </c>
      <c r="C615" s="8" t="s">
        <v>914</v>
      </c>
      <c r="D615" s="8" t="s">
        <v>915</v>
      </c>
      <c r="E615" s="39">
        <v>305000</v>
      </c>
      <c r="F615" s="40" t="s">
        <v>191</v>
      </c>
    </row>
    <row r="616" spans="2:6" hidden="1">
      <c r="B616" s="8">
        <v>613</v>
      </c>
      <c r="C616" s="8" t="s">
        <v>914</v>
      </c>
      <c r="D616" s="8" t="s">
        <v>291</v>
      </c>
      <c r="E616" s="39">
        <v>185000</v>
      </c>
      <c r="F616" s="40" t="s">
        <v>191</v>
      </c>
    </row>
    <row r="617" spans="2:6" hidden="1">
      <c r="B617" s="8">
        <v>614</v>
      </c>
      <c r="C617" s="8" t="s">
        <v>916</v>
      </c>
      <c r="D617" s="8" t="s">
        <v>774</v>
      </c>
      <c r="E617" s="39">
        <v>297000</v>
      </c>
      <c r="F617" s="40" t="s">
        <v>191</v>
      </c>
    </row>
    <row r="618" spans="2:6" hidden="1">
      <c r="B618" s="8">
        <v>615</v>
      </c>
      <c r="C618" s="8" t="s">
        <v>916</v>
      </c>
      <c r="D618" s="8" t="s">
        <v>811</v>
      </c>
      <c r="E618" s="39">
        <v>1868000</v>
      </c>
      <c r="F618" s="40" t="s">
        <v>191</v>
      </c>
    </row>
    <row r="619" spans="2:6" hidden="1">
      <c r="B619" s="8">
        <v>616</v>
      </c>
      <c r="C619" s="8" t="s">
        <v>917</v>
      </c>
      <c r="D619" s="8" t="s">
        <v>918</v>
      </c>
      <c r="E619" s="39">
        <v>71000</v>
      </c>
      <c r="F619" s="40" t="s">
        <v>191</v>
      </c>
    </row>
    <row r="620" spans="2:6" hidden="1">
      <c r="B620" s="8">
        <v>617</v>
      </c>
      <c r="C620" s="8" t="s">
        <v>919</v>
      </c>
      <c r="D620" s="8" t="s">
        <v>920</v>
      </c>
      <c r="E620" s="39">
        <v>185000</v>
      </c>
      <c r="F620" s="40" t="s">
        <v>191</v>
      </c>
    </row>
    <row r="621" spans="2:6" hidden="1">
      <c r="B621" s="8">
        <v>618</v>
      </c>
      <c r="C621" s="8" t="s">
        <v>919</v>
      </c>
      <c r="D621" s="8" t="s">
        <v>921</v>
      </c>
      <c r="E621" s="39">
        <v>690000</v>
      </c>
      <c r="F621" s="40" t="s">
        <v>191</v>
      </c>
    </row>
    <row r="622" spans="2:6" hidden="1">
      <c r="B622" s="8">
        <v>619</v>
      </c>
      <c r="C622" s="8" t="s">
        <v>919</v>
      </c>
      <c r="D622" s="8" t="s">
        <v>900</v>
      </c>
      <c r="E622" s="39">
        <v>101000</v>
      </c>
      <c r="F622" s="40" t="s">
        <v>191</v>
      </c>
    </row>
    <row r="623" spans="2:6" hidden="1">
      <c r="B623" s="8">
        <v>620</v>
      </c>
      <c r="C623" s="8" t="s">
        <v>919</v>
      </c>
      <c r="D623" s="8" t="s">
        <v>922</v>
      </c>
      <c r="E623" s="39">
        <v>481000</v>
      </c>
      <c r="F623" s="40" t="s">
        <v>191</v>
      </c>
    </row>
    <row r="624" spans="2:6" hidden="1">
      <c r="B624" s="8">
        <v>621</v>
      </c>
      <c r="C624" s="8" t="s">
        <v>919</v>
      </c>
      <c r="D624" s="8" t="s">
        <v>923</v>
      </c>
      <c r="E624" s="39">
        <v>1215000</v>
      </c>
      <c r="F624" s="40" t="s">
        <v>191</v>
      </c>
    </row>
    <row r="625" spans="2:6" hidden="1">
      <c r="B625" s="8">
        <v>622</v>
      </c>
      <c r="C625" s="8" t="s">
        <v>919</v>
      </c>
      <c r="D625" s="8" t="s">
        <v>924</v>
      </c>
      <c r="E625" s="39">
        <v>277000</v>
      </c>
      <c r="F625" s="40" t="s">
        <v>191</v>
      </c>
    </row>
    <row r="626" spans="2:6" hidden="1">
      <c r="B626" s="8">
        <v>623</v>
      </c>
      <c r="C626" s="8" t="s">
        <v>919</v>
      </c>
      <c r="D626" s="8" t="s">
        <v>925</v>
      </c>
      <c r="E626" s="39">
        <v>64000</v>
      </c>
      <c r="F626" s="40" t="s">
        <v>191</v>
      </c>
    </row>
    <row r="627" spans="2:6" hidden="1">
      <c r="B627" s="8">
        <v>624</v>
      </c>
      <c r="C627" s="8" t="s">
        <v>919</v>
      </c>
      <c r="D627" s="8" t="s">
        <v>926</v>
      </c>
      <c r="E627" s="39">
        <v>88000</v>
      </c>
      <c r="F627" s="40" t="s">
        <v>191</v>
      </c>
    </row>
    <row r="628" spans="2:6" hidden="1">
      <c r="B628" s="8">
        <v>625</v>
      </c>
      <c r="C628" s="8" t="s">
        <v>927</v>
      </c>
      <c r="D628" s="8" t="s">
        <v>405</v>
      </c>
      <c r="E628" s="39">
        <v>129000</v>
      </c>
      <c r="F628" s="40" t="s">
        <v>191</v>
      </c>
    </row>
    <row r="629" spans="2:6" hidden="1">
      <c r="B629" s="8">
        <v>626</v>
      </c>
      <c r="C629" s="8" t="s">
        <v>928</v>
      </c>
      <c r="D629" s="8" t="s">
        <v>317</v>
      </c>
      <c r="E629" s="39">
        <v>85000</v>
      </c>
      <c r="F629" s="40" t="s">
        <v>191</v>
      </c>
    </row>
    <row r="630" spans="2:6" hidden="1">
      <c r="B630" s="8">
        <v>627</v>
      </c>
      <c r="C630" s="8" t="s">
        <v>928</v>
      </c>
      <c r="D630" s="8" t="s">
        <v>769</v>
      </c>
      <c r="E630" s="39">
        <v>103000</v>
      </c>
      <c r="F630" s="40" t="s">
        <v>191</v>
      </c>
    </row>
    <row r="631" spans="2:6" hidden="1">
      <c r="B631" s="8">
        <v>628</v>
      </c>
      <c r="C631" s="8" t="s">
        <v>929</v>
      </c>
      <c r="D631" s="8" t="s">
        <v>930</v>
      </c>
      <c r="E631" s="39">
        <v>123000</v>
      </c>
      <c r="F631" s="40" t="s">
        <v>191</v>
      </c>
    </row>
    <row r="632" spans="2:6" hidden="1">
      <c r="B632" s="8">
        <v>629</v>
      </c>
      <c r="C632" s="8" t="s">
        <v>931</v>
      </c>
      <c r="D632" s="8" t="s">
        <v>932</v>
      </c>
      <c r="E632" s="39">
        <v>101000</v>
      </c>
      <c r="F632" s="40" t="s">
        <v>191</v>
      </c>
    </row>
    <row r="633" spans="2:6" hidden="1">
      <c r="B633" s="8">
        <v>630</v>
      </c>
      <c r="C633" s="8" t="s">
        <v>933</v>
      </c>
      <c r="D633" s="8" t="s">
        <v>317</v>
      </c>
      <c r="E633" s="39">
        <v>138000</v>
      </c>
      <c r="F633" s="40" t="s">
        <v>191</v>
      </c>
    </row>
    <row r="634" spans="2:6" hidden="1">
      <c r="B634" s="8">
        <v>631</v>
      </c>
      <c r="C634" s="8" t="s">
        <v>934</v>
      </c>
      <c r="D634" s="8" t="s">
        <v>935</v>
      </c>
      <c r="E634" s="39">
        <v>55000</v>
      </c>
      <c r="F634" s="40" t="s">
        <v>191</v>
      </c>
    </row>
    <row r="635" spans="2:6" hidden="1">
      <c r="B635" s="8">
        <v>632</v>
      </c>
      <c r="C635" s="8" t="s">
        <v>936</v>
      </c>
      <c r="D635" s="8" t="s">
        <v>345</v>
      </c>
      <c r="E635" s="39">
        <v>138000</v>
      </c>
      <c r="F635" s="40" t="s">
        <v>191</v>
      </c>
    </row>
    <row r="636" spans="2:6" hidden="1">
      <c r="B636" s="8">
        <v>633</v>
      </c>
      <c r="C636" s="8" t="s">
        <v>937</v>
      </c>
      <c r="D636" s="8" t="s">
        <v>775</v>
      </c>
      <c r="E636" s="39">
        <v>101000</v>
      </c>
      <c r="F636" s="40" t="s">
        <v>191</v>
      </c>
    </row>
    <row r="637" spans="2:6" hidden="1">
      <c r="B637" s="8">
        <v>634</v>
      </c>
      <c r="C637" s="8" t="s">
        <v>937</v>
      </c>
      <c r="D637" s="8" t="s">
        <v>938</v>
      </c>
      <c r="E637" s="39">
        <v>55000</v>
      </c>
      <c r="F637" s="40" t="s">
        <v>191</v>
      </c>
    </row>
    <row r="638" spans="2:6" hidden="1">
      <c r="B638" s="8">
        <v>635</v>
      </c>
      <c r="C638" s="8" t="s">
        <v>939</v>
      </c>
      <c r="D638" s="8" t="s">
        <v>198</v>
      </c>
      <c r="E638" s="39">
        <v>284000</v>
      </c>
      <c r="F638" s="40" t="s">
        <v>191</v>
      </c>
    </row>
    <row r="639" spans="2:6" hidden="1">
      <c r="B639" s="8">
        <v>636</v>
      </c>
      <c r="C639" s="8" t="s">
        <v>939</v>
      </c>
      <c r="D639" s="8" t="s">
        <v>940</v>
      </c>
      <c r="E639" s="39">
        <v>1565000</v>
      </c>
      <c r="F639" s="40" t="s">
        <v>191</v>
      </c>
    </row>
    <row r="640" spans="2:6" hidden="1">
      <c r="B640" s="8">
        <v>637</v>
      </c>
      <c r="C640" s="8" t="s">
        <v>941</v>
      </c>
      <c r="D640" s="8" t="s">
        <v>942</v>
      </c>
      <c r="E640" s="39">
        <v>7203000</v>
      </c>
      <c r="F640" s="40" t="s">
        <v>191</v>
      </c>
    </row>
    <row r="641" spans="2:6" hidden="1">
      <c r="B641" s="8">
        <v>638</v>
      </c>
      <c r="C641" s="8" t="s">
        <v>943</v>
      </c>
      <c r="D641" s="8" t="s">
        <v>732</v>
      </c>
      <c r="E641" s="39">
        <v>231000</v>
      </c>
      <c r="F641" s="40" t="s">
        <v>191</v>
      </c>
    </row>
    <row r="642" spans="2:6" hidden="1">
      <c r="B642" s="8">
        <v>639</v>
      </c>
      <c r="C642" s="8" t="s">
        <v>944</v>
      </c>
      <c r="D642" s="8" t="s">
        <v>945</v>
      </c>
      <c r="E642" s="39">
        <v>441000</v>
      </c>
      <c r="F642" s="40" t="s">
        <v>191</v>
      </c>
    </row>
    <row r="643" spans="2:6" hidden="1">
      <c r="B643" s="8">
        <v>640</v>
      </c>
      <c r="C643" s="8" t="s">
        <v>944</v>
      </c>
      <c r="D643" s="8" t="s">
        <v>211</v>
      </c>
      <c r="E643" s="39">
        <v>302000</v>
      </c>
      <c r="F643" s="40" t="s">
        <v>191</v>
      </c>
    </row>
    <row r="644" spans="2:6" hidden="1">
      <c r="B644" s="8">
        <v>641</v>
      </c>
      <c r="C644" s="8" t="s">
        <v>946</v>
      </c>
      <c r="D644" s="8" t="s">
        <v>947</v>
      </c>
      <c r="E644" s="39">
        <v>185000</v>
      </c>
      <c r="F644" s="40" t="s">
        <v>191</v>
      </c>
    </row>
    <row r="645" spans="2:6" hidden="1">
      <c r="B645" s="8">
        <v>642</v>
      </c>
      <c r="C645" s="8" t="s">
        <v>948</v>
      </c>
      <c r="D645" s="8" t="s">
        <v>949</v>
      </c>
      <c r="E645" s="39">
        <v>657000</v>
      </c>
      <c r="F645" s="40" t="s">
        <v>191</v>
      </c>
    </row>
    <row r="646" spans="2:6" hidden="1">
      <c r="B646" s="8">
        <v>643</v>
      </c>
      <c r="C646" s="8" t="s">
        <v>948</v>
      </c>
      <c r="D646" s="8" t="s">
        <v>950</v>
      </c>
      <c r="E646" s="39">
        <v>166000</v>
      </c>
      <c r="F646" s="40" t="s">
        <v>191</v>
      </c>
    </row>
    <row r="647" spans="2:6" hidden="1">
      <c r="B647" s="8">
        <v>644</v>
      </c>
      <c r="C647" s="8" t="s">
        <v>948</v>
      </c>
      <c r="D647" s="8" t="s">
        <v>951</v>
      </c>
      <c r="E647" s="39">
        <v>86000</v>
      </c>
      <c r="F647" s="40" t="s">
        <v>191</v>
      </c>
    </row>
    <row r="648" spans="2:6" hidden="1">
      <c r="B648" s="8">
        <v>645</v>
      </c>
      <c r="C648" s="8" t="s">
        <v>952</v>
      </c>
      <c r="D648" s="8" t="s">
        <v>953</v>
      </c>
      <c r="E648" s="39">
        <v>410000</v>
      </c>
      <c r="F648" s="40" t="s">
        <v>191</v>
      </c>
    </row>
    <row r="649" spans="2:6" hidden="1">
      <c r="B649" s="8">
        <v>646</v>
      </c>
      <c r="C649" s="8" t="s">
        <v>952</v>
      </c>
      <c r="D649" s="8" t="s">
        <v>954</v>
      </c>
      <c r="E649" s="39">
        <v>187000</v>
      </c>
      <c r="F649" s="40" t="s">
        <v>191</v>
      </c>
    </row>
    <row r="650" spans="2:6" hidden="1">
      <c r="B650" s="8">
        <v>647</v>
      </c>
      <c r="C650" s="8" t="s">
        <v>955</v>
      </c>
      <c r="D650" s="8" t="s">
        <v>345</v>
      </c>
      <c r="E650" s="39">
        <v>154000</v>
      </c>
      <c r="F650" s="40" t="s">
        <v>191</v>
      </c>
    </row>
    <row r="651" spans="2:6" hidden="1">
      <c r="B651" s="8">
        <v>648</v>
      </c>
      <c r="C651" s="8" t="s">
        <v>955</v>
      </c>
      <c r="D651" s="8" t="s">
        <v>956</v>
      </c>
      <c r="E651" s="39">
        <v>161000</v>
      </c>
      <c r="F651" s="40" t="s">
        <v>191</v>
      </c>
    </row>
    <row r="652" spans="2:6" hidden="1">
      <c r="B652" s="8">
        <v>649</v>
      </c>
      <c r="C652" s="8" t="s">
        <v>955</v>
      </c>
      <c r="D652" s="8" t="s">
        <v>957</v>
      </c>
      <c r="E652" s="39">
        <v>78000</v>
      </c>
      <c r="F652" s="40" t="s">
        <v>191</v>
      </c>
    </row>
    <row r="653" spans="2:6" hidden="1">
      <c r="B653" s="8">
        <v>650</v>
      </c>
      <c r="C653" s="8" t="s">
        <v>955</v>
      </c>
      <c r="D653" s="8" t="s">
        <v>958</v>
      </c>
      <c r="E653" s="39">
        <v>96000</v>
      </c>
      <c r="F653" s="40" t="s">
        <v>191</v>
      </c>
    </row>
    <row r="654" spans="2:6" hidden="1">
      <c r="B654" s="8">
        <v>651</v>
      </c>
      <c r="C654" s="8" t="s">
        <v>955</v>
      </c>
      <c r="D654" s="8" t="s">
        <v>940</v>
      </c>
      <c r="E654" s="39">
        <v>791000</v>
      </c>
      <c r="F654" s="40" t="s">
        <v>191</v>
      </c>
    </row>
    <row r="655" spans="2:6" hidden="1">
      <c r="B655" s="8">
        <v>652</v>
      </c>
      <c r="C655" s="8" t="s">
        <v>959</v>
      </c>
      <c r="D655" s="8" t="s">
        <v>769</v>
      </c>
      <c r="E655" s="39">
        <v>103000</v>
      </c>
      <c r="F655" s="40" t="s">
        <v>191</v>
      </c>
    </row>
    <row r="656" spans="2:6" hidden="1">
      <c r="B656" s="8">
        <v>653</v>
      </c>
      <c r="C656" s="8" t="s">
        <v>960</v>
      </c>
      <c r="D656" s="8" t="s">
        <v>961</v>
      </c>
      <c r="E656" s="39">
        <v>154000</v>
      </c>
      <c r="F656" s="40" t="s">
        <v>191</v>
      </c>
    </row>
    <row r="657" spans="2:6" hidden="1">
      <c r="B657" s="8">
        <v>654</v>
      </c>
      <c r="C657" s="8" t="s">
        <v>962</v>
      </c>
      <c r="D657" s="8" t="s">
        <v>211</v>
      </c>
      <c r="E657" s="39">
        <v>416000</v>
      </c>
      <c r="F657" s="40" t="s">
        <v>191</v>
      </c>
    </row>
    <row r="658" spans="2:6" hidden="1">
      <c r="B658" s="8">
        <v>655</v>
      </c>
      <c r="C658" s="8" t="s">
        <v>962</v>
      </c>
      <c r="D658" s="8" t="s">
        <v>963</v>
      </c>
      <c r="E658" s="39">
        <v>494000</v>
      </c>
      <c r="F658" s="40" t="s">
        <v>191</v>
      </c>
    </row>
    <row r="659" spans="2:6" hidden="1">
      <c r="B659" s="8">
        <v>656</v>
      </c>
      <c r="C659" s="8" t="s">
        <v>964</v>
      </c>
      <c r="D659" s="8" t="s">
        <v>319</v>
      </c>
      <c r="E659" s="39">
        <v>230000</v>
      </c>
      <c r="F659" s="40" t="s">
        <v>191</v>
      </c>
    </row>
    <row r="660" spans="2:6" hidden="1">
      <c r="B660" s="8">
        <v>657</v>
      </c>
      <c r="C660" s="8" t="s">
        <v>965</v>
      </c>
      <c r="D660" s="8" t="s">
        <v>319</v>
      </c>
      <c r="E660" s="39">
        <v>55000</v>
      </c>
      <c r="F660" s="40" t="s">
        <v>191</v>
      </c>
    </row>
    <row r="661" spans="2:6" hidden="1">
      <c r="B661" s="8">
        <v>658</v>
      </c>
      <c r="C661" s="8" t="s">
        <v>966</v>
      </c>
      <c r="D661" s="8" t="s">
        <v>890</v>
      </c>
      <c r="E661" s="39">
        <v>606000</v>
      </c>
      <c r="F661" s="40" t="s">
        <v>191</v>
      </c>
    </row>
    <row r="662" spans="2:6" hidden="1">
      <c r="B662" s="8">
        <v>659</v>
      </c>
      <c r="C662" s="8" t="s">
        <v>967</v>
      </c>
      <c r="D662" s="8" t="s">
        <v>204</v>
      </c>
      <c r="E662" s="39">
        <v>105000</v>
      </c>
      <c r="F662" s="40" t="s">
        <v>191</v>
      </c>
    </row>
    <row r="663" spans="2:6" hidden="1">
      <c r="B663" s="8">
        <v>660</v>
      </c>
      <c r="C663" s="8" t="s">
        <v>967</v>
      </c>
      <c r="D663" s="8" t="s">
        <v>968</v>
      </c>
      <c r="E663" s="39">
        <v>209000</v>
      </c>
      <c r="F663" s="40" t="s">
        <v>191</v>
      </c>
    </row>
    <row r="664" spans="2:6" hidden="1">
      <c r="B664" s="8">
        <v>661</v>
      </c>
      <c r="C664" s="8" t="s">
        <v>969</v>
      </c>
      <c r="D664" s="8" t="s">
        <v>970</v>
      </c>
      <c r="E664" s="39">
        <v>663000</v>
      </c>
      <c r="F664" s="40" t="s">
        <v>191</v>
      </c>
    </row>
    <row r="665" spans="2:6" hidden="1">
      <c r="B665" s="8">
        <v>662</v>
      </c>
      <c r="C665" s="8" t="s">
        <v>971</v>
      </c>
      <c r="D665" s="8" t="s">
        <v>198</v>
      </c>
      <c r="E665" s="39">
        <v>641000</v>
      </c>
      <c r="F665" s="40" t="s">
        <v>191</v>
      </c>
    </row>
    <row r="666" spans="2:6" hidden="1">
      <c r="B666" s="8">
        <v>663</v>
      </c>
      <c r="C666" s="8" t="s">
        <v>972</v>
      </c>
      <c r="D666" s="8" t="s">
        <v>973</v>
      </c>
      <c r="E666" s="39">
        <v>353000</v>
      </c>
      <c r="F666" s="40" t="s">
        <v>191</v>
      </c>
    </row>
    <row r="667" spans="2:6" hidden="1">
      <c r="B667" s="8">
        <v>664</v>
      </c>
      <c r="C667" s="8" t="s">
        <v>974</v>
      </c>
      <c r="D667" s="8" t="s">
        <v>975</v>
      </c>
      <c r="E667" s="39">
        <v>103000</v>
      </c>
      <c r="F667" s="40" t="s">
        <v>191</v>
      </c>
    </row>
    <row r="668" spans="2:6" hidden="1">
      <c r="B668" s="8">
        <v>665</v>
      </c>
      <c r="C668" s="8" t="s">
        <v>974</v>
      </c>
      <c r="D668" s="8" t="s">
        <v>976</v>
      </c>
      <c r="E668" s="39">
        <v>71000</v>
      </c>
      <c r="F668" s="40" t="s">
        <v>191</v>
      </c>
    </row>
    <row r="669" spans="2:6" hidden="1">
      <c r="B669" s="8">
        <v>666</v>
      </c>
      <c r="C669" s="8" t="s">
        <v>977</v>
      </c>
      <c r="D669" s="8" t="s">
        <v>978</v>
      </c>
      <c r="E669" s="39">
        <v>345000</v>
      </c>
      <c r="F669" s="40" t="s">
        <v>191</v>
      </c>
    </row>
    <row r="670" spans="2:6" hidden="1">
      <c r="B670" s="8">
        <v>667</v>
      </c>
      <c r="C670" s="8" t="s">
        <v>979</v>
      </c>
      <c r="D670" s="8" t="s">
        <v>980</v>
      </c>
      <c r="E670" s="39">
        <v>192000</v>
      </c>
      <c r="F670" s="40" t="s">
        <v>191</v>
      </c>
    </row>
    <row r="671" spans="2:6" hidden="1">
      <c r="B671" s="8">
        <v>668</v>
      </c>
      <c r="C671" s="8" t="s">
        <v>979</v>
      </c>
      <c r="D671" s="8" t="s">
        <v>981</v>
      </c>
      <c r="E671" s="39">
        <v>111000</v>
      </c>
      <c r="F671" s="40" t="s">
        <v>191</v>
      </c>
    </row>
    <row r="672" spans="2:6" hidden="1">
      <c r="B672" s="8">
        <v>669</v>
      </c>
      <c r="C672" s="8" t="s">
        <v>979</v>
      </c>
      <c r="D672" s="8" t="s">
        <v>982</v>
      </c>
      <c r="E672" s="39">
        <v>241000</v>
      </c>
      <c r="F672" s="40" t="s">
        <v>191</v>
      </c>
    </row>
    <row r="673" spans="2:6" hidden="1">
      <c r="B673" s="8">
        <v>670</v>
      </c>
      <c r="C673" s="8" t="s">
        <v>979</v>
      </c>
      <c r="D673" s="8" t="s">
        <v>983</v>
      </c>
      <c r="E673" s="39">
        <v>163000</v>
      </c>
      <c r="F673" s="40" t="s">
        <v>191</v>
      </c>
    </row>
    <row r="674" spans="2:6" hidden="1">
      <c r="B674" s="8">
        <v>671</v>
      </c>
      <c r="C674" s="8" t="s">
        <v>984</v>
      </c>
      <c r="D674" s="8" t="s">
        <v>985</v>
      </c>
      <c r="E674" s="39">
        <v>422000</v>
      </c>
      <c r="F674" s="40" t="s">
        <v>191</v>
      </c>
    </row>
    <row r="675" spans="2:6" hidden="1">
      <c r="B675" s="8">
        <v>672</v>
      </c>
      <c r="C675" s="8" t="s">
        <v>986</v>
      </c>
      <c r="D675" s="8" t="s">
        <v>987</v>
      </c>
      <c r="E675" s="39">
        <v>123000</v>
      </c>
      <c r="F675" s="40" t="s">
        <v>191</v>
      </c>
    </row>
    <row r="676" spans="2:6" hidden="1">
      <c r="B676" s="8">
        <v>673</v>
      </c>
      <c r="C676" s="8" t="s">
        <v>986</v>
      </c>
      <c r="D676" s="8" t="s">
        <v>988</v>
      </c>
      <c r="E676" s="39">
        <v>692000</v>
      </c>
      <c r="F676" s="40" t="s">
        <v>191</v>
      </c>
    </row>
    <row r="677" spans="2:6" hidden="1">
      <c r="B677" s="8">
        <v>674</v>
      </c>
      <c r="C677" s="8" t="s">
        <v>989</v>
      </c>
      <c r="D677" s="8" t="s">
        <v>339</v>
      </c>
      <c r="E677" s="39">
        <v>98000</v>
      </c>
      <c r="F677" s="40" t="s">
        <v>191</v>
      </c>
    </row>
    <row r="678" spans="2:6" hidden="1">
      <c r="B678" s="8">
        <v>675</v>
      </c>
      <c r="C678" s="8" t="s">
        <v>990</v>
      </c>
      <c r="D678" s="8" t="s">
        <v>991</v>
      </c>
      <c r="E678" s="39">
        <v>308000</v>
      </c>
      <c r="F678" s="40" t="s">
        <v>191</v>
      </c>
    </row>
    <row r="679" spans="2:6" hidden="1">
      <c r="B679" s="8">
        <v>676</v>
      </c>
      <c r="C679" s="8" t="s">
        <v>990</v>
      </c>
      <c r="D679" s="8" t="s">
        <v>534</v>
      </c>
      <c r="E679" s="39">
        <v>70000</v>
      </c>
      <c r="F679" s="40" t="s">
        <v>191</v>
      </c>
    </row>
    <row r="680" spans="2:6" hidden="1">
      <c r="B680" s="8">
        <v>677</v>
      </c>
      <c r="C680" s="8" t="s">
        <v>990</v>
      </c>
      <c r="D680" s="8" t="s">
        <v>992</v>
      </c>
      <c r="E680" s="39">
        <v>661000</v>
      </c>
      <c r="F680" s="40" t="s">
        <v>191</v>
      </c>
    </row>
    <row r="681" spans="2:6" hidden="1">
      <c r="B681" s="8">
        <v>678</v>
      </c>
      <c r="C681" s="8" t="s">
        <v>993</v>
      </c>
      <c r="D681" s="8" t="s">
        <v>994</v>
      </c>
      <c r="E681" s="39">
        <v>201000</v>
      </c>
      <c r="F681" s="40" t="s">
        <v>191</v>
      </c>
    </row>
    <row r="682" spans="2:6" hidden="1">
      <c r="B682" s="8">
        <v>679</v>
      </c>
      <c r="C682" s="8" t="s">
        <v>995</v>
      </c>
      <c r="D682" s="8" t="s">
        <v>684</v>
      </c>
      <c r="E682" s="39">
        <v>140000</v>
      </c>
      <c r="F682" s="40" t="s">
        <v>191</v>
      </c>
    </row>
    <row r="683" spans="2:6" hidden="1">
      <c r="B683" s="8">
        <v>680</v>
      </c>
      <c r="C683" s="8" t="s">
        <v>996</v>
      </c>
      <c r="D683" s="8" t="s">
        <v>997</v>
      </c>
      <c r="E683" s="39">
        <v>979000</v>
      </c>
      <c r="F683" s="40" t="s">
        <v>191</v>
      </c>
    </row>
    <row r="684" spans="2:6" hidden="1">
      <c r="B684" s="8">
        <v>681</v>
      </c>
      <c r="C684" s="8" t="s">
        <v>998</v>
      </c>
      <c r="D684" s="8" t="s">
        <v>999</v>
      </c>
      <c r="E684" s="39">
        <v>514000</v>
      </c>
      <c r="F684" s="40" t="s">
        <v>191</v>
      </c>
    </row>
    <row r="685" spans="2:6" hidden="1">
      <c r="B685" s="8">
        <v>682</v>
      </c>
      <c r="C685" s="8" t="s">
        <v>998</v>
      </c>
      <c r="D685" s="8" t="s">
        <v>1000</v>
      </c>
      <c r="E685" s="39">
        <v>212000</v>
      </c>
      <c r="F685" s="40" t="s">
        <v>191</v>
      </c>
    </row>
    <row r="686" spans="2:6" hidden="1">
      <c r="B686" s="8">
        <v>683</v>
      </c>
      <c r="C686" s="8" t="s">
        <v>998</v>
      </c>
      <c r="D686" s="8" t="s">
        <v>1001</v>
      </c>
      <c r="E686" s="39">
        <v>92000</v>
      </c>
      <c r="F686" s="40" t="s">
        <v>191</v>
      </c>
    </row>
    <row r="687" spans="2:6" hidden="1">
      <c r="B687" s="8">
        <v>684</v>
      </c>
      <c r="C687" s="8" t="s">
        <v>1002</v>
      </c>
      <c r="D687" s="8" t="s">
        <v>211</v>
      </c>
      <c r="E687" s="39">
        <v>389000</v>
      </c>
      <c r="F687" s="40" t="s">
        <v>191</v>
      </c>
    </row>
    <row r="688" spans="2:6" hidden="1">
      <c r="B688" s="8">
        <v>685</v>
      </c>
      <c r="C688" s="8" t="s">
        <v>1003</v>
      </c>
      <c r="D688" s="8" t="s">
        <v>211</v>
      </c>
      <c r="E688" s="39">
        <v>333000</v>
      </c>
      <c r="F688" s="40" t="s">
        <v>191</v>
      </c>
    </row>
    <row r="689" spans="2:6" hidden="1">
      <c r="B689" s="8">
        <v>686</v>
      </c>
      <c r="C689" s="8" t="s">
        <v>1003</v>
      </c>
      <c r="D689" s="8" t="s">
        <v>317</v>
      </c>
      <c r="E689" s="39">
        <v>81000</v>
      </c>
      <c r="F689" s="40" t="s">
        <v>191</v>
      </c>
    </row>
    <row r="690" spans="2:6" hidden="1">
      <c r="B690" s="8">
        <v>687</v>
      </c>
      <c r="C690" s="8" t="s">
        <v>1004</v>
      </c>
      <c r="D690" s="8" t="s">
        <v>1005</v>
      </c>
      <c r="E690" s="39">
        <v>55000</v>
      </c>
      <c r="F690" s="40" t="s">
        <v>191</v>
      </c>
    </row>
    <row r="691" spans="2:6" hidden="1">
      <c r="B691" s="8">
        <v>688</v>
      </c>
      <c r="C691" s="8" t="s">
        <v>1006</v>
      </c>
      <c r="D691" s="8" t="s">
        <v>211</v>
      </c>
      <c r="E691" s="39">
        <v>218000</v>
      </c>
      <c r="F691" s="40" t="s">
        <v>191</v>
      </c>
    </row>
    <row r="692" spans="2:6" hidden="1">
      <c r="B692" s="8">
        <v>689</v>
      </c>
      <c r="C692" s="8" t="s">
        <v>1007</v>
      </c>
      <c r="D692" s="8" t="s">
        <v>211</v>
      </c>
      <c r="E692" s="39">
        <v>146000</v>
      </c>
      <c r="F692" s="40" t="s">
        <v>191</v>
      </c>
    </row>
    <row r="693" spans="2:6" hidden="1">
      <c r="B693" s="8">
        <v>690</v>
      </c>
      <c r="C693" s="8" t="s">
        <v>1007</v>
      </c>
      <c r="D693" s="8" t="s">
        <v>1008</v>
      </c>
      <c r="E693" s="39">
        <v>103000</v>
      </c>
      <c r="F693" s="40" t="s">
        <v>191</v>
      </c>
    </row>
    <row r="694" spans="2:6" hidden="1">
      <c r="B694" s="8">
        <v>691</v>
      </c>
      <c r="C694" s="8" t="s">
        <v>1009</v>
      </c>
      <c r="D694" s="8" t="s">
        <v>1010</v>
      </c>
      <c r="E694" s="39">
        <v>69000</v>
      </c>
      <c r="F694" s="40" t="s">
        <v>191</v>
      </c>
    </row>
    <row r="695" spans="2:6" hidden="1">
      <c r="B695" s="8">
        <v>692</v>
      </c>
      <c r="C695" s="8" t="s">
        <v>1009</v>
      </c>
      <c r="D695" s="8" t="s">
        <v>1011</v>
      </c>
      <c r="E695" s="39">
        <v>75000</v>
      </c>
      <c r="F695" s="40" t="s">
        <v>191</v>
      </c>
    </row>
    <row r="696" spans="2:6" hidden="1">
      <c r="B696" s="8">
        <v>693</v>
      </c>
      <c r="C696" s="8" t="s">
        <v>1009</v>
      </c>
      <c r="D696" s="8" t="s">
        <v>1012</v>
      </c>
      <c r="E696" s="39">
        <v>169000</v>
      </c>
      <c r="F696" s="40" t="s">
        <v>191</v>
      </c>
    </row>
    <row r="697" spans="2:6" hidden="1">
      <c r="B697" s="8">
        <v>694</v>
      </c>
      <c r="C697" s="8" t="s">
        <v>1013</v>
      </c>
      <c r="D697" s="8" t="s">
        <v>199</v>
      </c>
      <c r="E697" s="39">
        <v>119000</v>
      </c>
      <c r="F697" s="40" t="s">
        <v>191</v>
      </c>
    </row>
    <row r="698" spans="2:6" hidden="1">
      <c r="B698" s="8">
        <v>695</v>
      </c>
      <c r="C698" s="8" t="s">
        <v>1014</v>
      </c>
      <c r="D698" s="8" t="s">
        <v>1015</v>
      </c>
      <c r="E698" s="39">
        <v>55000</v>
      </c>
      <c r="F698" s="40" t="s">
        <v>191</v>
      </c>
    </row>
    <row r="699" spans="2:6" hidden="1">
      <c r="B699" s="8">
        <v>696</v>
      </c>
      <c r="C699" s="8" t="s">
        <v>1014</v>
      </c>
      <c r="D699" s="8" t="s">
        <v>1016</v>
      </c>
      <c r="E699" s="39">
        <v>672000</v>
      </c>
      <c r="F699" s="40" t="s">
        <v>191</v>
      </c>
    </row>
    <row r="700" spans="2:6" hidden="1">
      <c r="B700" s="8">
        <v>697</v>
      </c>
      <c r="C700" s="8" t="s">
        <v>1017</v>
      </c>
      <c r="D700" s="8" t="s">
        <v>876</v>
      </c>
      <c r="E700" s="39">
        <v>86000</v>
      </c>
      <c r="F700" s="40" t="s">
        <v>191</v>
      </c>
    </row>
    <row r="701" spans="2:6" hidden="1">
      <c r="B701" s="8">
        <v>698</v>
      </c>
      <c r="C701" s="8" t="s">
        <v>1018</v>
      </c>
      <c r="D701" s="8" t="s">
        <v>791</v>
      </c>
      <c r="E701" s="39">
        <v>169000</v>
      </c>
      <c r="F701" s="40" t="s">
        <v>191</v>
      </c>
    </row>
    <row r="702" spans="2:6" hidden="1">
      <c r="B702" s="8">
        <v>699</v>
      </c>
      <c r="C702" s="8" t="s">
        <v>1019</v>
      </c>
      <c r="D702" s="8" t="s">
        <v>1020</v>
      </c>
      <c r="E702" s="39">
        <v>95000</v>
      </c>
      <c r="F702" s="40" t="s">
        <v>191</v>
      </c>
    </row>
    <row r="703" spans="2:6" hidden="1">
      <c r="B703" s="8">
        <v>700</v>
      </c>
      <c r="C703" s="8" t="s">
        <v>1021</v>
      </c>
      <c r="D703" s="8" t="s">
        <v>1022</v>
      </c>
      <c r="E703" s="39">
        <v>90000</v>
      </c>
      <c r="F703" s="40" t="s">
        <v>191</v>
      </c>
    </row>
    <row r="704" spans="2:6" hidden="1">
      <c r="B704" s="8">
        <v>701</v>
      </c>
      <c r="C704" s="8" t="s">
        <v>1023</v>
      </c>
      <c r="D704" s="8" t="s">
        <v>1024</v>
      </c>
      <c r="E704" s="39">
        <v>62000</v>
      </c>
      <c r="F704" s="40" t="s">
        <v>191</v>
      </c>
    </row>
    <row r="705" spans="2:6" hidden="1">
      <c r="B705" s="8">
        <v>702</v>
      </c>
      <c r="C705" s="8" t="s">
        <v>1023</v>
      </c>
      <c r="D705" s="8" t="s">
        <v>1025</v>
      </c>
      <c r="E705" s="39">
        <v>1446000</v>
      </c>
      <c r="F705" s="40" t="s">
        <v>191</v>
      </c>
    </row>
    <row r="706" spans="2:6" hidden="1">
      <c r="B706" s="8">
        <v>703</v>
      </c>
      <c r="C706" s="8" t="s">
        <v>1023</v>
      </c>
      <c r="D706" s="8" t="s">
        <v>534</v>
      </c>
      <c r="E706" s="39">
        <v>55000</v>
      </c>
      <c r="F706" s="40" t="s">
        <v>191</v>
      </c>
    </row>
    <row r="707" spans="2:6" hidden="1">
      <c r="B707" s="8">
        <v>704</v>
      </c>
      <c r="C707" s="8" t="s">
        <v>1026</v>
      </c>
      <c r="D707" s="8" t="s">
        <v>1027</v>
      </c>
      <c r="E707" s="39">
        <v>463000</v>
      </c>
      <c r="F707" s="40" t="s">
        <v>191</v>
      </c>
    </row>
    <row r="708" spans="2:6" hidden="1">
      <c r="B708" s="8">
        <v>705</v>
      </c>
      <c r="C708" s="8" t="s">
        <v>1026</v>
      </c>
      <c r="D708" s="8" t="s">
        <v>1028</v>
      </c>
      <c r="E708" s="39">
        <v>152000</v>
      </c>
      <c r="F708" s="40" t="s">
        <v>191</v>
      </c>
    </row>
    <row r="709" spans="2:6" hidden="1">
      <c r="B709" s="8">
        <v>706</v>
      </c>
      <c r="C709" s="8" t="s">
        <v>1029</v>
      </c>
      <c r="D709" s="8" t="s">
        <v>1030</v>
      </c>
      <c r="E709" s="39">
        <v>78000</v>
      </c>
      <c r="F709" s="40" t="s">
        <v>191</v>
      </c>
    </row>
    <row r="710" spans="2:6" hidden="1">
      <c r="B710" s="8">
        <v>707</v>
      </c>
      <c r="C710" s="8" t="s">
        <v>1031</v>
      </c>
      <c r="D710" s="8" t="s">
        <v>1032</v>
      </c>
      <c r="E710" s="39">
        <v>371000</v>
      </c>
      <c r="F710" s="40" t="s">
        <v>191</v>
      </c>
    </row>
    <row r="711" spans="2:6" hidden="1">
      <c r="B711" s="8">
        <v>708</v>
      </c>
      <c r="C711" s="8" t="s">
        <v>1033</v>
      </c>
      <c r="D711" s="8" t="s">
        <v>1034</v>
      </c>
      <c r="E711" s="39">
        <v>438000</v>
      </c>
      <c r="F711" s="40" t="s">
        <v>191</v>
      </c>
    </row>
    <row r="712" spans="2:6" hidden="1">
      <c r="B712" s="8">
        <v>709</v>
      </c>
      <c r="C712" s="8" t="s">
        <v>1035</v>
      </c>
      <c r="D712" s="8" t="s">
        <v>1036</v>
      </c>
      <c r="E712" s="39">
        <v>185000</v>
      </c>
      <c r="F712" s="40" t="s">
        <v>191</v>
      </c>
    </row>
    <row r="713" spans="2:6" hidden="1">
      <c r="B713" s="8">
        <v>710</v>
      </c>
      <c r="C713" s="8" t="s">
        <v>1037</v>
      </c>
      <c r="D713" s="8" t="s">
        <v>769</v>
      </c>
      <c r="E713" s="39">
        <v>118000</v>
      </c>
      <c r="F713" s="40" t="s">
        <v>191</v>
      </c>
    </row>
    <row r="714" spans="2:6" hidden="1">
      <c r="B714" s="8">
        <v>711</v>
      </c>
      <c r="C714" s="8" t="s">
        <v>1038</v>
      </c>
      <c r="D714" s="8" t="s">
        <v>211</v>
      </c>
      <c r="E714" s="39">
        <v>55000</v>
      </c>
      <c r="F714" s="40" t="s">
        <v>191</v>
      </c>
    </row>
    <row r="715" spans="2:6" hidden="1">
      <c r="B715" s="8">
        <v>712</v>
      </c>
      <c r="C715" s="8" t="s">
        <v>1038</v>
      </c>
      <c r="D715" s="8" t="s">
        <v>217</v>
      </c>
      <c r="E715" s="39">
        <v>3312000</v>
      </c>
      <c r="F715" s="40" t="s">
        <v>191</v>
      </c>
    </row>
    <row r="716" spans="2:6" hidden="1">
      <c r="B716" s="8">
        <v>713</v>
      </c>
      <c r="C716" s="8" t="s">
        <v>1038</v>
      </c>
      <c r="D716" s="8" t="s">
        <v>211</v>
      </c>
      <c r="E716" s="39">
        <v>55000</v>
      </c>
      <c r="F716" s="40" t="s">
        <v>191</v>
      </c>
    </row>
    <row r="717" spans="2:6" hidden="1">
      <c r="B717" s="8">
        <v>714</v>
      </c>
      <c r="C717" s="8" t="s">
        <v>1039</v>
      </c>
      <c r="D717" s="8" t="s">
        <v>1040</v>
      </c>
      <c r="E717" s="39">
        <v>92000</v>
      </c>
      <c r="F717" s="40" t="s">
        <v>191</v>
      </c>
    </row>
    <row r="718" spans="2:6" hidden="1">
      <c r="B718" s="8">
        <v>715</v>
      </c>
      <c r="C718" s="8" t="s">
        <v>1039</v>
      </c>
      <c r="D718" s="8" t="s">
        <v>1041</v>
      </c>
      <c r="E718" s="39">
        <v>356000</v>
      </c>
      <c r="F718" s="40" t="s">
        <v>191</v>
      </c>
    </row>
    <row r="719" spans="2:6" hidden="1">
      <c r="B719" s="8">
        <v>716</v>
      </c>
      <c r="C719" s="8" t="s">
        <v>1042</v>
      </c>
      <c r="D719" s="8" t="s">
        <v>317</v>
      </c>
      <c r="E719" s="39">
        <v>80000</v>
      </c>
      <c r="F719" s="40" t="s">
        <v>191</v>
      </c>
    </row>
    <row r="720" spans="2:6" hidden="1">
      <c r="B720" s="8">
        <v>717</v>
      </c>
      <c r="C720" s="8" t="s">
        <v>1043</v>
      </c>
      <c r="D720" s="8" t="s">
        <v>876</v>
      </c>
      <c r="E720" s="39">
        <v>55000</v>
      </c>
      <c r="F720" s="40" t="s">
        <v>191</v>
      </c>
    </row>
    <row r="721" spans="2:6" hidden="1">
      <c r="B721" s="8">
        <v>718</v>
      </c>
      <c r="C721" s="8" t="s">
        <v>1044</v>
      </c>
      <c r="D721" s="8" t="s">
        <v>1045</v>
      </c>
      <c r="E721" s="39">
        <v>780000</v>
      </c>
      <c r="F721" s="40" t="s">
        <v>191</v>
      </c>
    </row>
    <row r="722" spans="2:6" hidden="1">
      <c r="B722" s="8">
        <v>719</v>
      </c>
      <c r="C722" s="8" t="s">
        <v>1046</v>
      </c>
      <c r="D722" s="8" t="s">
        <v>1047</v>
      </c>
      <c r="E722" s="39">
        <v>497000</v>
      </c>
      <c r="F722" s="40" t="s">
        <v>191</v>
      </c>
    </row>
    <row r="723" spans="2:6" hidden="1">
      <c r="B723" s="8">
        <v>720</v>
      </c>
      <c r="C723" s="8" t="s">
        <v>1046</v>
      </c>
      <c r="D723" s="8" t="s">
        <v>775</v>
      </c>
      <c r="E723" s="39">
        <v>99000</v>
      </c>
      <c r="F723" s="40" t="s">
        <v>191</v>
      </c>
    </row>
    <row r="724" spans="2:6" hidden="1">
      <c r="B724" s="8">
        <v>721</v>
      </c>
      <c r="C724" s="8" t="s">
        <v>1048</v>
      </c>
      <c r="D724" s="8" t="s">
        <v>751</v>
      </c>
      <c r="E724" s="39">
        <v>86000</v>
      </c>
      <c r="F724" s="40" t="s">
        <v>191</v>
      </c>
    </row>
    <row r="725" spans="2:6" hidden="1">
      <c r="B725" s="8">
        <v>722</v>
      </c>
      <c r="C725" s="8" t="s">
        <v>1048</v>
      </c>
      <c r="D725" s="8" t="s">
        <v>751</v>
      </c>
      <c r="E725" s="39">
        <v>55000</v>
      </c>
      <c r="F725" s="40" t="s">
        <v>191</v>
      </c>
    </row>
    <row r="726" spans="2:6" hidden="1">
      <c r="B726" s="8">
        <v>723</v>
      </c>
      <c r="C726" s="8" t="s">
        <v>1049</v>
      </c>
      <c r="D726" s="8" t="s">
        <v>688</v>
      </c>
      <c r="E726" s="39">
        <v>685000</v>
      </c>
      <c r="F726" s="40" t="s">
        <v>191</v>
      </c>
    </row>
    <row r="727" spans="2:6" hidden="1">
      <c r="B727" s="8">
        <v>724</v>
      </c>
      <c r="C727" s="8" t="s">
        <v>1049</v>
      </c>
      <c r="D727" s="8" t="s">
        <v>1050</v>
      </c>
      <c r="E727" s="39">
        <v>120000</v>
      </c>
      <c r="F727" s="40" t="s">
        <v>191</v>
      </c>
    </row>
    <row r="728" spans="2:6" hidden="1">
      <c r="B728" s="8">
        <v>725</v>
      </c>
      <c r="C728" s="8" t="s">
        <v>1049</v>
      </c>
      <c r="D728" s="8" t="s">
        <v>1051</v>
      </c>
      <c r="E728" s="39">
        <v>86000</v>
      </c>
      <c r="F728" s="40" t="s">
        <v>191</v>
      </c>
    </row>
    <row r="729" spans="2:6" hidden="1">
      <c r="B729" s="8">
        <v>726</v>
      </c>
      <c r="C729" s="8" t="s">
        <v>1049</v>
      </c>
      <c r="D729" s="8" t="s">
        <v>1052</v>
      </c>
      <c r="E729" s="39">
        <v>148000</v>
      </c>
      <c r="F729" s="40" t="s">
        <v>191</v>
      </c>
    </row>
    <row r="730" spans="2:6" hidden="1">
      <c r="B730" s="8">
        <v>727</v>
      </c>
      <c r="C730" s="8" t="s">
        <v>1049</v>
      </c>
      <c r="D730" s="8" t="s">
        <v>1053</v>
      </c>
      <c r="E730" s="39">
        <v>85000</v>
      </c>
      <c r="F730" s="40" t="s">
        <v>191</v>
      </c>
    </row>
    <row r="731" spans="2:6" hidden="1">
      <c r="B731" s="8">
        <v>728</v>
      </c>
      <c r="C731" s="8" t="s">
        <v>1054</v>
      </c>
      <c r="D731" s="8" t="s">
        <v>199</v>
      </c>
      <c r="E731" s="39">
        <v>55000</v>
      </c>
      <c r="F731" s="40" t="s">
        <v>191</v>
      </c>
    </row>
    <row r="732" spans="2:6" hidden="1">
      <c r="B732" s="8">
        <v>729</v>
      </c>
      <c r="C732" s="8" t="s">
        <v>1055</v>
      </c>
      <c r="D732" s="8" t="s">
        <v>1056</v>
      </c>
      <c r="E732" s="39">
        <v>376000</v>
      </c>
      <c r="F732" s="40" t="s">
        <v>191</v>
      </c>
    </row>
    <row r="733" spans="2:6" hidden="1">
      <c r="B733" s="8">
        <v>730</v>
      </c>
      <c r="C733" s="8" t="s">
        <v>1055</v>
      </c>
      <c r="D733" s="8" t="s">
        <v>1057</v>
      </c>
      <c r="E733" s="39">
        <v>86000</v>
      </c>
      <c r="F733" s="40" t="s">
        <v>191</v>
      </c>
    </row>
    <row r="734" spans="2:6" hidden="1">
      <c r="B734" s="8">
        <v>731</v>
      </c>
      <c r="C734" s="8" t="s">
        <v>1058</v>
      </c>
      <c r="D734" s="8" t="s">
        <v>1059</v>
      </c>
      <c r="E734" s="39">
        <v>158000</v>
      </c>
      <c r="F734" s="40" t="s">
        <v>191</v>
      </c>
    </row>
    <row r="735" spans="2:6" hidden="1">
      <c r="B735" s="8">
        <v>732</v>
      </c>
      <c r="C735" s="8" t="s">
        <v>1060</v>
      </c>
      <c r="D735" s="8" t="s">
        <v>1061</v>
      </c>
      <c r="E735" s="39">
        <v>357000</v>
      </c>
      <c r="F735" s="40" t="s">
        <v>191</v>
      </c>
    </row>
    <row r="736" spans="2:6" hidden="1">
      <c r="B736" s="8">
        <v>733</v>
      </c>
      <c r="C736" s="8" t="s">
        <v>1062</v>
      </c>
      <c r="D736" s="8" t="s">
        <v>1063</v>
      </c>
      <c r="E736" s="39">
        <v>318000</v>
      </c>
      <c r="F736" s="40" t="s">
        <v>191</v>
      </c>
    </row>
    <row r="737" spans="2:6" hidden="1">
      <c r="B737" s="8">
        <v>734</v>
      </c>
      <c r="C737" s="8" t="s">
        <v>1064</v>
      </c>
      <c r="D737" s="8" t="s">
        <v>688</v>
      </c>
      <c r="E737" s="39">
        <v>698000</v>
      </c>
      <c r="F737" s="40" t="s">
        <v>191</v>
      </c>
    </row>
    <row r="738" spans="2:6" hidden="1">
      <c r="B738" s="8">
        <v>735</v>
      </c>
      <c r="C738" s="8" t="s">
        <v>1065</v>
      </c>
      <c r="D738" s="8" t="s">
        <v>688</v>
      </c>
      <c r="E738" s="39">
        <v>704000</v>
      </c>
      <c r="F738" s="40" t="s">
        <v>191</v>
      </c>
    </row>
    <row r="739" spans="2:6" hidden="1">
      <c r="B739" s="8">
        <v>736</v>
      </c>
      <c r="C739" s="8" t="s">
        <v>1066</v>
      </c>
      <c r="D739" s="8" t="s">
        <v>1067</v>
      </c>
      <c r="E739" s="39">
        <v>253000</v>
      </c>
      <c r="F739" s="40" t="s">
        <v>191</v>
      </c>
    </row>
    <row r="740" spans="2:6" hidden="1">
      <c r="B740" s="8">
        <v>737</v>
      </c>
      <c r="C740" s="8" t="s">
        <v>1068</v>
      </c>
      <c r="D740" s="8" t="s">
        <v>1069</v>
      </c>
      <c r="E740" s="39">
        <v>1141000</v>
      </c>
      <c r="F740" s="40" t="s">
        <v>191</v>
      </c>
    </row>
    <row r="741" spans="2:6" hidden="1">
      <c r="B741" s="8">
        <v>738</v>
      </c>
      <c r="C741" s="8" t="s">
        <v>1070</v>
      </c>
      <c r="D741" s="8" t="s">
        <v>1071</v>
      </c>
      <c r="E741" s="39">
        <v>206000</v>
      </c>
      <c r="F741" s="40" t="s">
        <v>191</v>
      </c>
    </row>
    <row r="742" spans="2:6" hidden="1">
      <c r="B742" s="8">
        <v>739</v>
      </c>
      <c r="C742" s="8" t="s">
        <v>1072</v>
      </c>
      <c r="D742" s="8" t="s">
        <v>456</v>
      </c>
      <c r="E742" s="39">
        <v>1415000</v>
      </c>
      <c r="F742" s="40" t="s">
        <v>191</v>
      </c>
    </row>
    <row r="743" spans="2:6" hidden="1">
      <c r="B743" s="8">
        <v>740</v>
      </c>
      <c r="C743" s="8" t="s">
        <v>1073</v>
      </c>
      <c r="D743" s="8" t="s">
        <v>456</v>
      </c>
      <c r="E743" s="39">
        <v>241000</v>
      </c>
      <c r="F743" s="40" t="s">
        <v>191</v>
      </c>
    </row>
    <row r="744" spans="2:6" hidden="1">
      <c r="B744" s="8">
        <v>741</v>
      </c>
      <c r="C744" s="8" t="s">
        <v>1073</v>
      </c>
      <c r="D744" s="8" t="s">
        <v>317</v>
      </c>
      <c r="E744" s="39">
        <v>138000</v>
      </c>
      <c r="F744" s="40" t="s">
        <v>191</v>
      </c>
    </row>
    <row r="745" spans="2:6" hidden="1">
      <c r="B745" s="8">
        <v>742</v>
      </c>
      <c r="C745" s="8" t="s">
        <v>1074</v>
      </c>
      <c r="D745" s="8" t="s">
        <v>1075</v>
      </c>
      <c r="E745" s="39">
        <v>55000</v>
      </c>
      <c r="F745" s="40" t="s">
        <v>191</v>
      </c>
    </row>
    <row r="746" spans="2:6" hidden="1">
      <c r="B746" s="8">
        <v>743</v>
      </c>
      <c r="C746" s="8" t="s">
        <v>1074</v>
      </c>
      <c r="D746" s="8" t="s">
        <v>1076</v>
      </c>
      <c r="E746" s="39">
        <v>55000</v>
      </c>
      <c r="F746" s="40" t="s">
        <v>191</v>
      </c>
    </row>
    <row r="747" spans="2:6" hidden="1">
      <c r="B747" s="8">
        <v>744</v>
      </c>
      <c r="C747" s="8" t="s">
        <v>1077</v>
      </c>
      <c r="D747" s="8" t="s">
        <v>317</v>
      </c>
      <c r="E747" s="39">
        <v>176000</v>
      </c>
      <c r="F747" s="40" t="s">
        <v>191</v>
      </c>
    </row>
    <row r="748" spans="2:6" hidden="1">
      <c r="B748" s="8">
        <v>745</v>
      </c>
      <c r="C748" s="8" t="s">
        <v>1078</v>
      </c>
      <c r="D748" s="8" t="s">
        <v>317</v>
      </c>
      <c r="E748" s="39">
        <v>234000</v>
      </c>
      <c r="F748" s="40" t="s">
        <v>191</v>
      </c>
    </row>
    <row r="749" spans="2:6" hidden="1">
      <c r="B749" s="8">
        <v>746</v>
      </c>
      <c r="C749" s="8" t="s">
        <v>1079</v>
      </c>
      <c r="D749" s="8" t="s">
        <v>211</v>
      </c>
      <c r="E749" s="39">
        <v>320000</v>
      </c>
      <c r="F749" s="40" t="s">
        <v>191</v>
      </c>
    </row>
    <row r="750" spans="2:6" hidden="1">
      <c r="B750" s="8">
        <v>747</v>
      </c>
      <c r="C750" s="8" t="s">
        <v>1080</v>
      </c>
      <c r="D750" s="8" t="s">
        <v>1081</v>
      </c>
      <c r="E750" s="39">
        <v>185000</v>
      </c>
      <c r="F750" s="40" t="s">
        <v>191</v>
      </c>
    </row>
    <row r="751" spans="2:6" hidden="1">
      <c r="B751" s="8">
        <v>748</v>
      </c>
      <c r="C751" s="8" t="s">
        <v>1082</v>
      </c>
      <c r="D751" s="8" t="s">
        <v>317</v>
      </c>
      <c r="E751" s="39">
        <v>104000</v>
      </c>
      <c r="F751" s="40" t="s">
        <v>191</v>
      </c>
    </row>
    <row r="752" spans="2:6" hidden="1">
      <c r="B752" s="8">
        <v>749</v>
      </c>
      <c r="C752" s="8" t="s">
        <v>1083</v>
      </c>
      <c r="D752" s="8" t="s">
        <v>1084</v>
      </c>
      <c r="E752" s="39">
        <v>1012000</v>
      </c>
      <c r="F752" s="40" t="s">
        <v>191</v>
      </c>
    </row>
    <row r="753" spans="2:6" hidden="1">
      <c r="B753" s="8">
        <v>750</v>
      </c>
      <c r="C753" s="8" t="s">
        <v>1085</v>
      </c>
      <c r="D753" s="8" t="s">
        <v>1086</v>
      </c>
      <c r="E753" s="39">
        <v>71000</v>
      </c>
      <c r="F753" s="40" t="s">
        <v>191</v>
      </c>
    </row>
    <row r="754" spans="2:6" hidden="1">
      <c r="B754" s="8">
        <v>751</v>
      </c>
      <c r="C754" s="8" t="s">
        <v>1087</v>
      </c>
      <c r="D754" s="8" t="s">
        <v>534</v>
      </c>
      <c r="E754" s="39">
        <v>232000</v>
      </c>
      <c r="F754" s="40" t="s">
        <v>191</v>
      </c>
    </row>
    <row r="755" spans="2:6" hidden="1">
      <c r="B755" s="8">
        <v>752</v>
      </c>
      <c r="C755" s="8" t="s">
        <v>1087</v>
      </c>
      <c r="D755" s="8" t="s">
        <v>1088</v>
      </c>
      <c r="E755" s="39">
        <v>103000</v>
      </c>
      <c r="F755" s="40" t="s">
        <v>191</v>
      </c>
    </row>
    <row r="756" spans="2:6" hidden="1">
      <c r="B756" s="8">
        <v>753</v>
      </c>
      <c r="C756" s="8" t="s">
        <v>1089</v>
      </c>
      <c r="D756" s="8" t="s">
        <v>688</v>
      </c>
      <c r="E756" s="39">
        <v>725000</v>
      </c>
      <c r="F756" s="40" t="s">
        <v>191</v>
      </c>
    </row>
    <row r="757" spans="2:6" hidden="1">
      <c r="B757" s="8">
        <v>754</v>
      </c>
      <c r="C757" s="8" t="s">
        <v>1090</v>
      </c>
      <c r="D757" s="8" t="s">
        <v>1091</v>
      </c>
      <c r="E757" s="39">
        <v>105000</v>
      </c>
      <c r="F757" s="40" t="s">
        <v>191</v>
      </c>
    </row>
    <row r="758" spans="2:6" hidden="1">
      <c r="B758" s="8">
        <v>755</v>
      </c>
      <c r="C758" s="8" t="s">
        <v>1092</v>
      </c>
      <c r="D758" s="8" t="s">
        <v>688</v>
      </c>
      <c r="E758" s="39">
        <v>86000</v>
      </c>
      <c r="F758" s="40" t="s">
        <v>191</v>
      </c>
    </row>
    <row r="759" spans="2:6" hidden="1">
      <c r="B759" s="8">
        <v>756</v>
      </c>
      <c r="C759" s="8" t="s">
        <v>722</v>
      </c>
      <c r="D759" s="8" t="s">
        <v>1093</v>
      </c>
      <c r="E759" s="39">
        <v>1900000</v>
      </c>
      <c r="F759" s="40" t="s">
        <v>191</v>
      </c>
    </row>
    <row r="760" spans="2:6" hidden="1">
      <c r="B760" s="8">
        <v>757</v>
      </c>
      <c r="C760" s="8" t="s">
        <v>722</v>
      </c>
      <c r="D760" s="8" t="s">
        <v>1094</v>
      </c>
      <c r="E760" s="39">
        <v>13940000</v>
      </c>
      <c r="F760" s="40" t="s">
        <v>191</v>
      </c>
    </row>
    <row r="761" spans="2:6" hidden="1">
      <c r="B761" s="8">
        <v>758</v>
      </c>
      <c r="C761" s="8" t="s">
        <v>505</v>
      </c>
      <c r="D761" s="8" t="s">
        <v>1095</v>
      </c>
      <c r="E761" s="39">
        <v>9668000</v>
      </c>
      <c r="F761" s="40" t="s">
        <v>1096</v>
      </c>
    </row>
    <row r="762" spans="2:6" hidden="1">
      <c r="B762" s="8">
        <v>759</v>
      </c>
      <c r="C762" s="8" t="s">
        <v>1097</v>
      </c>
      <c r="D762" s="8" t="s">
        <v>1098</v>
      </c>
      <c r="E762" s="39">
        <v>1674000</v>
      </c>
      <c r="F762" s="40" t="s">
        <v>1096</v>
      </c>
    </row>
    <row r="763" spans="2:6" hidden="1">
      <c r="B763" s="8">
        <v>760</v>
      </c>
      <c r="C763" s="8" t="s">
        <v>194</v>
      </c>
      <c r="D763" s="8" t="s">
        <v>714</v>
      </c>
      <c r="E763" s="39">
        <v>84000</v>
      </c>
      <c r="F763" s="40" t="s">
        <v>1096</v>
      </c>
    </row>
    <row r="764" spans="2:6" hidden="1">
      <c r="B764" s="8">
        <v>761</v>
      </c>
      <c r="C764" s="8" t="s">
        <v>197</v>
      </c>
      <c r="D764" s="8" t="s">
        <v>1099</v>
      </c>
      <c r="E764" s="39">
        <v>53000</v>
      </c>
      <c r="F764" s="40" t="s">
        <v>1096</v>
      </c>
    </row>
    <row r="765" spans="2:6" hidden="1">
      <c r="B765" s="8">
        <v>762</v>
      </c>
      <c r="C765" s="8" t="s">
        <v>197</v>
      </c>
      <c r="D765" s="8" t="s">
        <v>500</v>
      </c>
      <c r="E765" s="39">
        <v>69000</v>
      </c>
      <c r="F765" s="40" t="s">
        <v>1096</v>
      </c>
    </row>
    <row r="766" spans="2:6" hidden="1">
      <c r="B766" s="8">
        <v>763</v>
      </c>
      <c r="C766" s="8" t="s">
        <v>202</v>
      </c>
      <c r="D766" s="8" t="s">
        <v>1100</v>
      </c>
      <c r="E766" s="39">
        <v>73000</v>
      </c>
      <c r="F766" s="40" t="s">
        <v>1096</v>
      </c>
    </row>
    <row r="767" spans="2:6" hidden="1">
      <c r="B767" s="8">
        <v>764</v>
      </c>
      <c r="C767" s="8" t="s">
        <v>1101</v>
      </c>
      <c r="D767" s="8" t="s">
        <v>319</v>
      </c>
      <c r="E767" s="39">
        <v>198000</v>
      </c>
      <c r="F767" s="40" t="s">
        <v>1096</v>
      </c>
    </row>
    <row r="768" spans="2:6" hidden="1">
      <c r="B768" s="8">
        <v>765</v>
      </c>
      <c r="C768" s="8" t="s">
        <v>1101</v>
      </c>
      <c r="D768" s="8" t="s">
        <v>507</v>
      </c>
      <c r="E768" s="39">
        <v>1854000</v>
      </c>
      <c r="F768" s="40" t="s">
        <v>1096</v>
      </c>
    </row>
    <row r="769" spans="2:6" hidden="1">
      <c r="B769" s="8">
        <v>766</v>
      </c>
      <c r="C769" s="8" t="s">
        <v>212</v>
      </c>
      <c r="D769" s="8" t="s">
        <v>217</v>
      </c>
      <c r="E769" s="39">
        <v>753000</v>
      </c>
      <c r="F769" s="40" t="s">
        <v>1096</v>
      </c>
    </row>
    <row r="770" spans="2:6" hidden="1">
      <c r="B770" s="8">
        <v>767</v>
      </c>
      <c r="C770" s="8" t="s">
        <v>214</v>
      </c>
      <c r="D770" s="8" t="s">
        <v>1102</v>
      </c>
      <c r="E770" s="39">
        <v>370000</v>
      </c>
      <c r="F770" s="40" t="s">
        <v>1096</v>
      </c>
    </row>
    <row r="771" spans="2:6" hidden="1">
      <c r="B771" s="8">
        <v>768</v>
      </c>
      <c r="C771" s="8" t="s">
        <v>218</v>
      </c>
      <c r="D771" s="8" t="s">
        <v>1103</v>
      </c>
      <c r="E771" s="39">
        <v>53000</v>
      </c>
      <c r="F771" s="40" t="s">
        <v>1096</v>
      </c>
    </row>
    <row r="772" spans="2:6" hidden="1">
      <c r="B772" s="8">
        <v>769</v>
      </c>
      <c r="C772" s="8" t="s">
        <v>1104</v>
      </c>
      <c r="D772" s="8" t="s">
        <v>453</v>
      </c>
      <c r="E772" s="39">
        <v>734000</v>
      </c>
      <c r="F772" s="40" t="s">
        <v>1096</v>
      </c>
    </row>
    <row r="773" spans="2:6" hidden="1">
      <c r="B773" s="8">
        <v>770</v>
      </c>
      <c r="C773" s="8" t="s">
        <v>1105</v>
      </c>
      <c r="D773" s="8" t="s">
        <v>1106</v>
      </c>
      <c r="E773" s="39">
        <v>111000</v>
      </c>
      <c r="F773" s="40" t="s">
        <v>1096</v>
      </c>
    </row>
    <row r="774" spans="2:6" hidden="1">
      <c r="B774" s="8">
        <v>771</v>
      </c>
      <c r="C774" s="8" t="s">
        <v>1107</v>
      </c>
      <c r="D774" s="8" t="s">
        <v>319</v>
      </c>
      <c r="E774" s="39">
        <v>123000</v>
      </c>
      <c r="F774" s="40" t="s">
        <v>1096</v>
      </c>
    </row>
    <row r="775" spans="2:6" hidden="1">
      <c r="B775" s="8">
        <v>772</v>
      </c>
      <c r="C775" s="8" t="s">
        <v>1107</v>
      </c>
      <c r="D775" s="8" t="s">
        <v>211</v>
      </c>
      <c r="E775" s="39">
        <v>266000</v>
      </c>
      <c r="F775" s="40" t="s">
        <v>1096</v>
      </c>
    </row>
    <row r="776" spans="2:6" hidden="1">
      <c r="B776" s="8">
        <v>773</v>
      </c>
      <c r="C776" s="8" t="s">
        <v>226</v>
      </c>
      <c r="D776" s="8" t="s">
        <v>1108</v>
      </c>
      <c r="E776" s="39">
        <v>84000</v>
      </c>
      <c r="F776" s="40" t="s">
        <v>1096</v>
      </c>
    </row>
    <row r="777" spans="2:6" hidden="1">
      <c r="B777" s="8">
        <v>774</v>
      </c>
      <c r="C777" s="8" t="s">
        <v>227</v>
      </c>
      <c r="D777" s="8" t="s">
        <v>1109</v>
      </c>
      <c r="E777" s="39">
        <v>393000</v>
      </c>
      <c r="F777" s="40" t="s">
        <v>1096</v>
      </c>
    </row>
    <row r="778" spans="2:6" hidden="1">
      <c r="B778" s="8">
        <v>775</v>
      </c>
      <c r="C778" s="8" t="s">
        <v>230</v>
      </c>
      <c r="D778" s="8" t="s">
        <v>211</v>
      </c>
      <c r="E778" s="39">
        <v>119000</v>
      </c>
      <c r="F778" s="40" t="s">
        <v>1096</v>
      </c>
    </row>
    <row r="779" spans="2:6" hidden="1">
      <c r="B779" s="8">
        <v>776</v>
      </c>
      <c r="C779" s="8" t="s">
        <v>232</v>
      </c>
      <c r="D779" s="8" t="s">
        <v>1110</v>
      </c>
      <c r="E779" s="39">
        <v>80000</v>
      </c>
      <c r="F779" s="40" t="s">
        <v>1096</v>
      </c>
    </row>
    <row r="780" spans="2:6" hidden="1">
      <c r="B780" s="8">
        <v>777</v>
      </c>
      <c r="C780" s="8" t="s">
        <v>1111</v>
      </c>
      <c r="D780" s="8" t="s">
        <v>1112</v>
      </c>
      <c r="E780" s="39">
        <v>62000</v>
      </c>
      <c r="F780" s="40" t="s">
        <v>1096</v>
      </c>
    </row>
    <row r="781" spans="2:6" hidden="1">
      <c r="B781" s="8">
        <v>778</v>
      </c>
      <c r="C781" s="8" t="s">
        <v>1111</v>
      </c>
      <c r="D781" s="8" t="s">
        <v>319</v>
      </c>
      <c r="E781" s="39">
        <v>118000</v>
      </c>
      <c r="F781" s="40" t="s">
        <v>1096</v>
      </c>
    </row>
    <row r="782" spans="2:6" hidden="1">
      <c r="B782" s="8">
        <v>779</v>
      </c>
      <c r="C782" s="8" t="s">
        <v>234</v>
      </c>
      <c r="D782" s="8" t="s">
        <v>217</v>
      </c>
      <c r="E782" s="39">
        <v>462000</v>
      </c>
      <c r="F782" s="40" t="s">
        <v>1096</v>
      </c>
    </row>
    <row r="783" spans="2:6" hidden="1">
      <c r="B783" s="8">
        <v>780</v>
      </c>
      <c r="C783" s="8" t="s">
        <v>1113</v>
      </c>
      <c r="D783" s="8" t="s">
        <v>198</v>
      </c>
      <c r="E783" s="39">
        <v>1005000</v>
      </c>
      <c r="F783" s="40" t="s">
        <v>1096</v>
      </c>
    </row>
    <row r="784" spans="2:6" hidden="1">
      <c r="B784" s="8">
        <v>781</v>
      </c>
      <c r="C784" s="8" t="s">
        <v>242</v>
      </c>
      <c r="D784" s="8" t="s">
        <v>1114</v>
      </c>
      <c r="E784" s="39">
        <v>643000</v>
      </c>
      <c r="F784" s="40" t="s">
        <v>1096</v>
      </c>
    </row>
    <row r="785" spans="2:6" hidden="1">
      <c r="B785" s="8">
        <v>782</v>
      </c>
      <c r="C785" s="8" t="s">
        <v>242</v>
      </c>
      <c r="D785" s="8" t="s">
        <v>199</v>
      </c>
      <c r="E785" s="39">
        <v>53000</v>
      </c>
      <c r="F785" s="40" t="s">
        <v>1096</v>
      </c>
    </row>
    <row r="786" spans="2:6" hidden="1">
      <c r="B786" s="8">
        <v>783</v>
      </c>
      <c r="C786" s="8" t="s">
        <v>1115</v>
      </c>
      <c r="D786" s="8" t="s">
        <v>1116</v>
      </c>
      <c r="E786" s="39">
        <v>320000</v>
      </c>
      <c r="F786" s="40" t="s">
        <v>1096</v>
      </c>
    </row>
    <row r="787" spans="2:6" hidden="1">
      <c r="B787" s="8">
        <v>784</v>
      </c>
      <c r="C787" s="8" t="s">
        <v>1115</v>
      </c>
      <c r="D787" s="8" t="s">
        <v>1117</v>
      </c>
      <c r="E787" s="39">
        <v>130000</v>
      </c>
      <c r="F787" s="40" t="s">
        <v>1096</v>
      </c>
    </row>
    <row r="788" spans="2:6" hidden="1">
      <c r="B788" s="8">
        <v>785</v>
      </c>
      <c r="C788" s="8" t="s">
        <v>246</v>
      </c>
      <c r="D788" s="8" t="s">
        <v>953</v>
      </c>
      <c r="E788" s="39">
        <v>194000</v>
      </c>
      <c r="F788" s="40" t="s">
        <v>1096</v>
      </c>
    </row>
    <row r="789" spans="2:6" hidden="1">
      <c r="B789" s="8">
        <v>786</v>
      </c>
      <c r="C789" s="8" t="s">
        <v>246</v>
      </c>
      <c r="D789" s="8" t="s">
        <v>1118</v>
      </c>
      <c r="E789" s="39">
        <v>195000</v>
      </c>
      <c r="F789" s="40" t="s">
        <v>1096</v>
      </c>
    </row>
    <row r="790" spans="2:6" hidden="1">
      <c r="B790" s="8">
        <v>787</v>
      </c>
      <c r="C790" s="8" t="s">
        <v>246</v>
      </c>
      <c r="D790" s="8" t="s">
        <v>1119</v>
      </c>
      <c r="E790" s="39">
        <v>84000</v>
      </c>
      <c r="F790" s="40" t="s">
        <v>1096</v>
      </c>
    </row>
    <row r="791" spans="2:6" hidden="1">
      <c r="B791" s="8">
        <v>788</v>
      </c>
      <c r="C791" s="8" t="s">
        <v>246</v>
      </c>
      <c r="D791" s="8" t="s">
        <v>339</v>
      </c>
      <c r="E791" s="39">
        <v>140000</v>
      </c>
      <c r="F791" s="40" t="s">
        <v>1096</v>
      </c>
    </row>
    <row r="792" spans="2:6" hidden="1">
      <c r="B792" s="8">
        <v>789</v>
      </c>
      <c r="C792" s="8" t="s">
        <v>248</v>
      </c>
      <c r="D792" s="8" t="s">
        <v>211</v>
      </c>
      <c r="E792" s="39">
        <v>245000</v>
      </c>
      <c r="F792" s="40" t="s">
        <v>1096</v>
      </c>
    </row>
    <row r="793" spans="2:6" hidden="1">
      <c r="B793" s="8">
        <v>790</v>
      </c>
      <c r="C793" s="8" t="s">
        <v>254</v>
      </c>
      <c r="D793" s="8" t="s">
        <v>1120</v>
      </c>
      <c r="E793" s="39">
        <v>115000</v>
      </c>
      <c r="F793" s="40" t="s">
        <v>1096</v>
      </c>
    </row>
    <row r="794" spans="2:6" hidden="1">
      <c r="B794" s="8">
        <v>791</v>
      </c>
      <c r="C794" s="8" t="s">
        <v>1121</v>
      </c>
      <c r="D794" s="8" t="s">
        <v>699</v>
      </c>
      <c r="E794" s="39">
        <v>115000</v>
      </c>
      <c r="F794" s="40" t="s">
        <v>1096</v>
      </c>
    </row>
    <row r="795" spans="2:6" hidden="1">
      <c r="B795" s="8">
        <v>792</v>
      </c>
      <c r="C795" s="8" t="s">
        <v>263</v>
      </c>
      <c r="D795" s="8" t="s">
        <v>1122</v>
      </c>
      <c r="E795" s="39">
        <v>453000</v>
      </c>
      <c r="F795" s="40" t="s">
        <v>1096</v>
      </c>
    </row>
    <row r="796" spans="2:6" hidden="1">
      <c r="B796" s="8">
        <v>793</v>
      </c>
      <c r="C796" s="8" t="s">
        <v>264</v>
      </c>
      <c r="D796" s="8" t="s">
        <v>217</v>
      </c>
      <c r="E796" s="39">
        <v>1215000</v>
      </c>
      <c r="F796" s="40" t="s">
        <v>1096</v>
      </c>
    </row>
    <row r="797" spans="2:6" hidden="1">
      <c r="B797" s="8">
        <v>794</v>
      </c>
      <c r="C797" s="8" t="s">
        <v>1123</v>
      </c>
      <c r="D797" s="8" t="s">
        <v>1036</v>
      </c>
      <c r="E797" s="39">
        <v>169000</v>
      </c>
      <c r="F797" s="40" t="s">
        <v>1096</v>
      </c>
    </row>
    <row r="798" spans="2:6" hidden="1">
      <c r="B798" s="8">
        <v>795</v>
      </c>
      <c r="C798" s="8" t="s">
        <v>1123</v>
      </c>
      <c r="D798" s="8" t="s">
        <v>1124</v>
      </c>
      <c r="E798" s="39">
        <v>300000</v>
      </c>
      <c r="F798" s="40" t="s">
        <v>1096</v>
      </c>
    </row>
    <row r="799" spans="2:6" hidden="1">
      <c r="B799" s="8">
        <v>796</v>
      </c>
      <c r="C799" s="8" t="s">
        <v>1125</v>
      </c>
      <c r="D799" s="8" t="s">
        <v>198</v>
      </c>
      <c r="E799" s="39">
        <v>909000</v>
      </c>
      <c r="F799" s="40" t="s">
        <v>1096</v>
      </c>
    </row>
    <row r="800" spans="2:6" hidden="1">
      <c r="B800" s="8">
        <v>797</v>
      </c>
      <c r="C800" s="8" t="s">
        <v>285</v>
      </c>
      <c r="D800" s="8" t="s">
        <v>211</v>
      </c>
      <c r="E800" s="39">
        <v>53000</v>
      </c>
      <c r="F800" s="40" t="s">
        <v>1096</v>
      </c>
    </row>
    <row r="801" spans="2:6" hidden="1">
      <c r="B801" s="8">
        <v>798</v>
      </c>
      <c r="C801" s="8" t="s">
        <v>1126</v>
      </c>
      <c r="D801" s="8" t="s">
        <v>199</v>
      </c>
      <c r="E801" s="39">
        <v>332000</v>
      </c>
      <c r="F801" s="40" t="s">
        <v>1096</v>
      </c>
    </row>
    <row r="802" spans="2:6" hidden="1">
      <c r="B802" s="8">
        <v>799</v>
      </c>
      <c r="C802" s="8" t="s">
        <v>290</v>
      </c>
      <c r="D802" s="8" t="s">
        <v>1127</v>
      </c>
      <c r="E802" s="39">
        <v>8000</v>
      </c>
      <c r="F802" s="40" t="s">
        <v>1096</v>
      </c>
    </row>
    <row r="803" spans="2:6" hidden="1">
      <c r="B803" s="8">
        <v>800</v>
      </c>
      <c r="C803" s="8" t="s">
        <v>290</v>
      </c>
      <c r="D803" s="8" t="s">
        <v>317</v>
      </c>
      <c r="E803" s="39">
        <v>107000</v>
      </c>
      <c r="F803" s="40" t="s">
        <v>1096</v>
      </c>
    </row>
    <row r="804" spans="2:6" hidden="1">
      <c r="B804" s="8">
        <v>801</v>
      </c>
      <c r="C804" s="8" t="s">
        <v>293</v>
      </c>
      <c r="D804" s="8" t="s">
        <v>1128</v>
      </c>
      <c r="E804" s="39">
        <v>605000</v>
      </c>
      <c r="F804" s="40" t="s">
        <v>1096</v>
      </c>
    </row>
    <row r="805" spans="2:6" hidden="1">
      <c r="B805" s="8">
        <v>802</v>
      </c>
      <c r="C805" s="8" t="s">
        <v>294</v>
      </c>
      <c r="D805" s="8" t="s">
        <v>534</v>
      </c>
      <c r="E805" s="39">
        <v>53000</v>
      </c>
      <c r="F805" s="40" t="s">
        <v>1096</v>
      </c>
    </row>
    <row r="806" spans="2:6" hidden="1">
      <c r="B806" s="8">
        <v>803</v>
      </c>
      <c r="C806" s="8" t="s">
        <v>302</v>
      </c>
      <c r="D806" s="8" t="s">
        <v>213</v>
      </c>
      <c r="E806" s="39">
        <v>95000</v>
      </c>
      <c r="F806" s="40" t="s">
        <v>1096</v>
      </c>
    </row>
    <row r="807" spans="2:6" hidden="1">
      <c r="B807" s="8">
        <v>804</v>
      </c>
      <c r="C807" s="8" t="s">
        <v>310</v>
      </c>
      <c r="D807" s="8" t="s">
        <v>1129</v>
      </c>
      <c r="E807" s="39">
        <v>93000</v>
      </c>
      <c r="F807" s="40" t="s">
        <v>1096</v>
      </c>
    </row>
    <row r="808" spans="2:6" hidden="1">
      <c r="B808" s="8">
        <v>805</v>
      </c>
      <c r="C808" s="8" t="s">
        <v>1130</v>
      </c>
      <c r="D808" s="8" t="s">
        <v>1131</v>
      </c>
      <c r="E808" s="39">
        <v>188000</v>
      </c>
      <c r="F808" s="40" t="s">
        <v>1096</v>
      </c>
    </row>
    <row r="809" spans="2:6" hidden="1">
      <c r="B809" s="8">
        <v>806</v>
      </c>
      <c r="C809" s="8" t="s">
        <v>318</v>
      </c>
      <c r="D809" s="8" t="s">
        <v>1132</v>
      </c>
      <c r="E809" s="39">
        <v>378000</v>
      </c>
      <c r="F809" s="40" t="s">
        <v>1096</v>
      </c>
    </row>
    <row r="810" spans="2:6" hidden="1">
      <c r="B810" s="8">
        <v>807</v>
      </c>
      <c r="C810" s="8" t="s">
        <v>318</v>
      </c>
      <c r="D810" s="8" t="s">
        <v>1133</v>
      </c>
      <c r="E810" s="39">
        <v>249000</v>
      </c>
      <c r="F810" s="40" t="s">
        <v>1096</v>
      </c>
    </row>
    <row r="811" spans="2:6" hidden="1">
      <c r="B811" s="8">
        <v>808</v>
      </c>
      <c r="C811" s="8" t="s">
        <v>1134</v>
      </c>
      <c r="D811" s="8" t="s">
        <v>217</v>
      </c>
      <c r="E811" s="39">
        <v>468000</v>
      </c>
      <c r="F811" s="40" t="s">
        <v>1096</v>
      </c>
    </row>
    <row r="812" spans="2:6" hidden="1">
      <c r="B812" s="8">
        <v>809</v>
      </c>
      <c r="C812" s="8" t="s">
        <v>322</v>
      </c>
      <c r="D812" s="8" t="s">
        <v>1135</v>
      </c>
      <c r="E812" s="39">
        <v>72000</v>
      </c>
      <c r="F812" s="40" t="s">
        <v>1096</v>
      </c>
    </row>
    <row r="813" spans="2:6" hidden="1">
      <c r="B813" s="8">
        <v>810</v>
      </c>
      <c r="C813" s="8" t="s">
        <v>322</v>
      </c>
      <c r="D813" s="8" t="s">
        <v>1136</v>
      </c>
      <c r="E813" s="39">
        <v>94000</v>
      </c>
      <c r="F813" s="40" t="s">
        <v>1096</v>
      </c>
    </row>
    <row r="814" spans="2:6" hidden="1">
      <c r="B814" s="8">
        <v>811</v>
      </c>
      <c r="C814" s="8" t="s">
        <v>324</v>
      </c>
      <c r="D814" s="8" t="s">
        <v>731</v>
      </c>
      <c r="E814" s="39">
        <v>350000</v>
      </c>
      <c r="F814" s="40" t="s">
        <v>1096</v>
      </c>
    </row>
    <row r="815" spans="2:6" hidden="1">
      <c r="B815" s="8">
        <v>812</v>
      </c>
      <c r="C815" s="8" t="s">
        <v>326</v>
      </c>
      <c r="D815" s="8" t="s">
        <v>198</v>
      </c>
      <c r="E815" s="39">
        <v>446000</v>
      </c>
      <c r="F815" s="40" t="s">
        <v>1096</v>
      </c>
    </row>
    <row r="816" spans="2:6" hidden="1">
      <c r="B816" s="8">
        <v>813</v>
      </c>
      <c r="C816" s="8" t="s">
        <v>1137</v>
      </c>
      <c r="D816" s="8" t="s">
        <v>1138</v>
      </c>
      <c r="E816" s="39">
        <v>473000</v>
      </c>
      <c r="F816" s="40" t="s">
        <v>1096</v>
      </c>
    </row>
    <row r="817" spans="2:6" hidden="1">
      <c r="B817" s="8">
        <v>814</v>
      </c>
      <c r="C817" s="8" t="s">
        <v>329</v>
      </c>
      <c r="D817" s="8" t="s">
        <v>1139</v>
      </c>
      <c r="E817" s="39">
        <v>154000</v>
      </c>
      <c r="F817" s="40" t="s">
        <v>1096</v>
      </c>
    </row>
    <row r="818" spans="2:6" hidden="1">
      <c r="B818" s="8">
        <v>815</v>
      </c>
      <c r="C818" s="8" t="s">
        <v>1140</v>
      </c>
      <c r="D818" s="8" t="s">
        <v>1141</v>
      </c>
      <c r="E818" s="39">
        <v>569000</v>
      </c>
      <c r="F818" s="40" t="s">
        <v>1096</v>
      </c>
    </row>
    <row r="819" spans="2:6" hidden="1">
      <c r="B819" s="8">
        <v>816</v>
      </c>
      <c r="C819" s="8" t="s">
        <v>331</v>
      </c>
      <c r="D819" s="8" t="s">
        <v>211</v>
      </c>
      <c r="E819" s="39">
        <v>124000</v>
      </c>
      <c r="F819" s="40" t="s">
        <v>1096</v>
      </c>
    </row>
    <row r="820" spans="2:6" hidden="1">
      <c r="B820" s="8">
        <v>817</v>
      </c>
      <c r="C820" s="8" t="s">
        <v>331</v>
      </c>
      <c r="D820" s="8" t="s">
        <v>1142</v>
      </c>
      <c r="E820" s="39">
        <v>157000</v>
      </c>
      <c r="F820" s="40" t="s">
        <v>1096</v>
      </c>
    </row>
    <row r="821" spans="2:6" hidden="1">
      <c r="B821" s="8">
        <v>818</v>
      </c>
      <c r="C821" s="8" t="s">
        <v>1143</v>
      </c>
      <c r="D821" s="8" t="s">
        <v>198</v>
      </c>
      <c r="E821" s="39">
        <v>294000</v>
      </c>
      <c r="F821" s="40" t="s">
        <v>1096</v>
      </c>
    </row>
    <row r="822" spans="2:6" hidden="1">
      <c r="B822" s="8">
        <v>819</v>
      </c>
      <c r="C822" s="8" t="s">
        <v>1143</v>
      </c>
      <c r="D822" s="8" t="s">
        <v>211</v>
      </c>
      <c r="E822" s="39">
        <v>53000</v>
      </c>
      <c r="F822" s="40" t="s">
        <v>1096</v>
      </c>
    </row>
    <row r="823" spans="2:6" hidden="1">
      <c r="B823" s="8">
        <v>820</v>
      </c>
      <c r="C823" s="8" t="s">
        <v>333</v>
      </c>
      <c r="D823" s="8" t="s">
        <v>610</v>
      </c>
      <c r="E823" s="39">
        <v>250000</v>
      </c>
      <c r="F823" s="40" t="s">
        <v>1096</v>
      </c>
    </row>
    <row r="824" spans="2:6" hidden="1">
      <c r="B824" s="8">
        <v>821</v>
      </c>
      <c r="C824" s="8" t="s">
        <v>333</v>
      </c>
      <c r="D824" s="8" t="s">
        <v>1144</v>
      </c>
      <c r="E824" s="39">
        <v>130000</v>
      </c>
      <c r="F824" s="40" t="s">
        <v>1096</v>
      </c>
    </row>
    <row r="825" spans="2:6" hidden="1">
      <c r="B825" s="8">
        <v>822</v>
      </c>
      <c r="C825" s="8" t="s">
        <v>333</v>
      </c>
      <c r="D825" s="8" t="s">
        <v>1145</v>
      </c>
      <c r="E825" s="39">
        <v>271000</v>
      </c>
      <c r="F825" s="40" t="s">
        <v>1096</v>
      </c>
    </row>
    <row r="826" spans="2:6" hidden="1">
      <c r="B826" s="8">
        <v>823</v>
      </c>
      <c r="C826" s="8" t="s">
        <v>333</v>
      </c>
      <c r="D826" s="8" t="s">
        <v>1102</v>
      </c>
      <c r="E826" s="39">
        <v>648000</v>
      </c>
      <c r="F826" s="40" t="s">
        <v>1096</v>
      </c>
    </row>
    <row r="827" spans="2:6" hidden="1">
      <c r="B827" s="8">
        <v>824</v>
      </c>
      <c r="C827" s="8" t="s">
        <v>1146</v>
      </c>
      <c r="D827" s="8" t="s">
        <v>1147</v>
      </c>
      <c r="E827" s="39">
        <v>90000</v>
      </c>
      <c r="F827" s="40" t="s">
        <v>1096</v>
      </c>
    </row>
    <row r="828" spans="2:6" hidden="1">
      <c r="B828" s="8">
        <v>825</v>
      </c>
      <c r="C828" s="8" t="s">
        <v>336</v>
      </c>
      <c r="D828" s="8" t="s">
        <v>1148</v>
      </c>
      <c r="E828" s="39">
        <v>135000</v>
      </c>
      <c r="F828" s="40" t="s">
        <v>1096</v>
      </c>
    </row>
    <row r="829" spans="2:6" hidden="1">
      <c r="B829" s="8">
        <v>826</v>
      </c>
      <c r="C829" s="8" t="s">
        <v>340</v>
      </c>
      <c r="D829" s="8" t="s">
        <v>659</v>
      </c>
      <c r="E829" s="39">
        <v>93000</v>
      </c>
      <c r="F829" s="40" t="s">
        <v>1096</v>
      </c>
    </row>
    <row r="830" spans="2:6" hidden="1">
      <c r="B830" s="8">
        <v>827</v>
      </c>
      <c r="C830" s="8" t="s">
        <v>340</v>
      </c>
      <c r="D830" s="8" t="s">
        <v>335</v>
      </c>
      <c r="E830" s="39">
        <v>350000</v>
      </c>
      <c r="F830" s="40" t="s">
        <v>1096</v>
      </c>
    </row>
    <row r="831" spans="2:6" hidden="1">
      <c r="B831" s="8">
        <v>828</v>
      </c>
      <c r="C831" s="8" t="s">
        <v>1149</v>
      </c>
      <c r="D831" s="8" t="s">
        <v>217</v>
      </c>
      <c r="E831" s="39">
        <v>607000</v>
      </c>
      <c r="F831" s="40" t="s">
        <v>1096</v>
      </c>
    </row>
    <row r="832" spans="2:6" hidden="1">
      <c r="B832" s="8">
        <v>829</v>
      </c>
      <c r="C832" s="8" t="s">
        <v>1150</v>
      </c>
      <c r="D832" s="8" t="s">
        <v>456</v>
      </c>
      <c r="E832" s="39">
        <v>366000</v>
      </c>
      <c r="F832" s="40" t="s">
        <v>1096</v>
      </c>
    </row>
    <row r="833" spans="2:6" hidden="1">
      <c r="B833" s="8">
        <v>830</v>
      </c>
      <c r="C833" s="8" t="s">
        <v>1150</v>
      </c>
      <c r="D833" s="8" t="s">
        <v>1151</v>
      </c>
      <c r="E833" s="39">
        <v>85000</v>
      </c>
      <c r="F833" s="40" t="s">
        <v>1096</v>
      </c>
    </row>
    <row r="834" spans="2:6" hidden="1">
      <c r="B834" s="8">
        <v>831</v>
      </c>
      <c r="C834" s="8" t="s">
        <v>1152</v>
      </c>
      <c r="D834" s="8" t="s">
        <v>507</v>
      </c>
      <c r="E834" s="39">
        <v>347000</v>
      </c>
      <c r="F834" s="40" t="s">
        <v>1096</v>
      </c>
    </row>
    <row r="835" spans="2:6" hidden="1">
      <c r="B835" s="8">
        <v>832</v>
      </c>
      <c r="C835" s="8" t="s">
        <v>349</v>
      </c>
      <c r="D835" s="8" t="s">
        <v>1153</v>
      </c>
      <c r="E835" s="39">
        <v>315000</v>
      </c>
      <c r="F835" s="40" t="s">
        <v>1096</v>
      </c>
    </row>
    <row r="836" spans="2:6" hidden="1">
      <c r="B836" s="8">
        <v>833</v>
      </c>
      <c r="C836" s="8" t="s">
        <v>351</v>
      </c>
      <c r="D836" s="8" t="s">
        <v>1154</v>
      </c>
      <c r="E836" s="39">
        <v>965000</v>
      </c>
      <c r="F836" s="40" t="s">
        <v>1096</v>
      </c>
    </row>
    <row r="837" spans="2:6" hidden="1">
      <c r="B837" s="8">
        <v>834</v>
      </c>
      <c r="C837" s="8" t="s">
        <v>353</v>
      </c>
      <c r="D837" s="8" t="s">
        <v>900</v>
      </c>
      <c r="E837" s="39">
        <v>99000</v>
      </c>
      <c r="F837" s="40" t="s">
        <v>1096</v>
      </c>
    </row>
    <row r="838" spans="2:6" hidden="1">
      <c r="B838" s="8">
        <v>835</v>
      </c>
      <c r="C838" s="8" t="s">
        <v>353</v>
      </c>
      <c r="D838" s="8" t="s">
        <v>345</v>
      </c>
      <c r="E838" s="39">
        <v>222000</v>
      </c>
      <c r="F838" s="40" t="s">
        <v>1096</v>
      </c>
    </row>
    <row r="839" spans="2:6" hidden="1">
      <c r="B839" s="8">
        <v>836</v>
      </c>
      <c r="C839" s="8" t="s">
        <v>353</v>
      </c>
      <c r="D839" s="8" t="s">
        <v>217</v>
      </c>
      <c r="E839" s="39">
        <v>476000</v>
      </c>
      <c r="F839" s="40" t="s">
        <v>1096</v>
      </c>
    </row>
    <row r="840" spans="2:6" hidden="1">
      <c r="B840" s="8">
        <v>837</v>
      </c>
      <c r="C840" s="8" t="s">
        <v>1155</v>
      </c>
      <c r="D840" s="8" t="s">
        <v>211</v>
      </c>
      <c r="E840" s="39">
        <v>191000</v>
      </c>
      <c r="F840" s="40" t="s">
        <v>1096</v>
      </c>
    </row>
    <row r="841" spans="2:6" hidden="1">
      <c r="B841" s="8">
        <v>838</v>
      </c>
      <c r="C841" s="8" t="s">
        <v>1155</v>
      </c>
      <c r="D841" s="8" t="s">
        <v>1156</v>
      </c>
      <c r="E841" s="39">
        <v>154000</v>
      </c>
      <c r="F841" s="40" t="s">
        <v>1096</v>
      </c>
    </row>
    <row r="842" spans="2:6" hidden="1">
      <c r="B842" s="8">
        <v>839</v>
      </c>
      <c r="C842" s="8" t="s">
        <v>1157</v>
      </c>
      <c r="D842" s="8" t="s">
        <v>1158</v>
      </c>
      <c r="E842" s="39">
        <v>219000</v>
      </c>
      <c r="F842" s="40" t="s">
        <v>1096</v>
      </c>
    </row>
    <row r="843" spans="2:6" hidden="1">
      <c r="B843" s="8">
        <v>840</v>
      </c>
      <c r="C843" s="8" t="s">
        <v>1159</v>
      </c>
      <c r="D843" s="8" t="s">
        <v>890</v>
      </c>
      <c r="E843" s="39">
        <v>350000</v>
      </c>
      <c r="F843" s="40" t="s">
        <v>1096</v>
      </c>
    </row>
    <row r="844" spans="2:6" hidden="1">
      <c r="B844" s="8">
        <v>841</v>
      </c>
      <c r="C844" s="8" t="s">
        <v>357</v>
      </c>
      <c r="D844" s="8" t="s">
        <v>1160</v>
      </c>
      <c r="E844" s="39">
        <v>61000</v>
      </c>
      <c r="F844" s="40" t="s">
        <v>1096</v>
      </c>
    </row>
    <row r="845" spans="2:6" hidden="1">
      <c r="B845" s="8">
        <v>842</v>
      </c>
      <c r="C845" s="8" t="s">
        <v>1161</v>
      </c>
      <c r="D845" s="8" t="s">
        <v>236</v>
      </c>
      <c r="E845" s="39">
        <v>159000</v>
      </c>
      <c r="F845" s="40" t="s">
        <v>1096</v>
      </c>
    </row>
    <row r="846" spans="2:6" hidden="1">
      <c r="B846" s="8">
        <v>843</v>
      </c>
      <c r="C846" s="8" t="s">
        <v>360</v>
      </c>
      <c r="D846" s="8" t="s">
        <v>198</v>
      </c>
      <c r="E846" s="39">
        <v>1257000</v>
      </c>
      <c r="F846" s="40" t="s">
        <v>1096</v>
      </c>
    </row>
    <row r="847" spans="2:6" hidden="1">
      <c r="B847" s="8">
        <v>844</v>
      </c>
      <c r="C847" s="8" t="s">
        <v>365</v>
      </c>
      <c r="D847" s="8" t="s">
        <v>1162</v>
      </c>
      <c r="E847" s="39">
        <v>154000</v>
      </c>
      <c r="F847" s="40" t="s">
        <v>1096</v>
      </c>
    </row>
    <row r="848" spans="2:6" hidden="1">
      <c r="B848" s="8">
        <v>845</v>
      </c>
      <c r="C848" s="8" t="s">
        <v>365</v>
      </c>
      <c r="D848" s="8" t="s">
        <v>699</v>
      </c>
      <c r="E848" s="39">
        <v>115000</v>
      </c>
      <c r="F848" s="40" t="s">
        <v>1096</v>
      </c>
    </row>
    <row r="849" spans="2:6" hidden="1">
      <c r="B849" s="8">
        <v>846</v>
      </c>
      <c r="C849" s="8" t="s">
        <v>1163</v>
      </c>
      <c r="D849" s="8" t="s">
        <v>1164</v>
      </c>
      <c r="E849" s="39">
        <v>242000</v>
      </c>
      <c r="F849" s="40" t="s">
        <v>1096</v>
      </c>
    </row>
    <row r="850" spans="2:6" hidden="1">
      <c r="B850" s="8">
        <v>847</v>
      </c>
      <c r="C850" s="8" t="s">
        <v>366</v>
      </c>
      <c r="D850" s="8" t="s">
        <v>1165</v>
      </c>
      <c r="E850" s="39">
        <v>179000</v>
      </c>
      <c r="F850" s="40" t="s">
        <v>1096</v>
      </c>
    </row>
    <row r="851" spans="2:6" hidden="1">
      <c r="B851" s="8">
        <v>848</v>
      </c>
      <c r="C851" s="8" t="s">
        <v>366</v>
      </c>
      <c r="D851" s="8" t="s">
        <v>211</v>
      </c>
      <c r="E851" s="39">
        <v>77000</v>
      </c>
      <c r="F851" s="40" t="s">
        <v>1096</v>
      </c>
    </row>
    <row r="852" spans="2:6" hidden="1">
      <c r="B852" s="8">
        <v>849</v>
      </c>
      <c r="C852" s="8" t="s">
        <v>373</v>
      </c>
      <c r="D852" s="8" t="s">
        <v>1166</v>
      </c>
      <c r="E852" s="39">
        <v>666000</v>
      </c>
      <c r="F852" s="40" t="s">
        <v>1096</v>
      </c>
    </row>
    <row r="853" spans="2:6" hidden="1">
      <c r="B853" s="8">
        <v>850</v>
      </c>
      <c r="C853" s="8" t="s">
        <v>373</v>
      </c>
      <c r="D853" s="8" t="s">
        <v>838</v>
      </c>
      <c r="E853" s="39">
        <v>150000</v>
      </c>
      <c r="F853" s="40" t="s">
        <v>1096</v>
      </c>
    </row>
    <row r="854" spans="2:6" hidden="1">
      <c r="B854" s="8">
        <v>851</v>
      </c>
      <c r="C854" s="8" t="s">
        <v>378</v>
      </c>
      <c r="D854" s="8" t="s">
        <v>508</v>
      </c>
      <c r="E854" s="39">
        <v>160000</v>
      </c>
      <c r="F854" s="40" t="s">
        <v>1096</v>
      </c>
    </row>
    <row r="855" spans="2:6" hidden="1">
      <c r="B855" s="8">
        <v>852</v>
      </c>
      <c r="C855" s="8" t="s">
        <v>1167</v>
      </c>
      <c r="D855" s="8" t="s">
        <v>217</v>
      </c>
      <c r="E855" s="39">
        <v>294000</v>
      </c>
      <c r="F855" s="40" t="s">
        <v>1096</v>
      </c>
    </row>
    <row r="856" spans="2:6" hidden="1">
      <c r="B856" s="8">
        <v>853</v>
      </c>
      <c r="C856" s="8" t="s">
        <v>1167</v>
      </c>
      <c r="D856" s="8" t="s">
        <v>211</v>
      </c>
      <c r="E856" s="39">
        <v>84000</v>
      </c>
      <c r="F856" s="40" t="s">
        <v>1096</v>
      </c>
    </row>
    <row r="857" spans="2:6" hidden="1">
      <c r="B857" s="8">
        <v>854</v>
      </c>
      <c r="C857" s="8" t="s">
        <v>1167</v>
      </c>
      <c r="D857" s="8" t="s">
        <v>1168</v>
      </c>
      <c r="E857" s="39">
        <v>4166000</v>
      </c>
      <c r="F857" s="40" t="s">
        <v>1096</v>
      </c>
    </row>
    <row r="858" spans="2:6" hidden="1">
      <c r="B858" s="8">
        <v>855</v>
      </c>
      <c r="C858" s="8" t="s">
        <v>380</v>
      </c>
      <c r="D858" s="8" t="s">
        <v>1169</v>
      </c>
      <c r="E858" s="39">
        <v>53000</v>
      </c>
      <c r="F858" s="40" t="s">
        <v>1096</v>
      </c>
    </row>
    <row r="859" spans="2:6" hidden="1">
      <c r="B859" s="8">
        <v>856</v>
      </c>
      <c r="C859" s="8" t="s">
        <v>385</v>
      </c>
      <c r="D859" s="8" t="s">
        <v>291</v>
      </c>
      <c r="E859" s="39">
        <v>236000</v>
      </c>
      <c r="F859" s="40" t="s">
        <v>1096</v>
      </c>
    </row>
    <row r="860" spans="2:6" hidden="1">
      <c r="B860" s="8">
        <v>857</v>
      </c>
      <c r="C860" s="8" t="s">
        <v>385</v>
      </c>
      <c r="D860" s="8" t="s">
        <v>956</v>
      </c>
      <c r="E860" s="39">
        <v>428000</v>
      </c>
      <c r="F860" s="40" t="s">
        <v>1096</v>
      </c>
    </row>
    <row r="861" spans="2:6" hidden="1">
      <c r="B861" s="8">
        <v>858</v>
      </c>
      <c r="C861" s="8" t="s">
        <v>385</v>
      </c>
      <c r="D861" s="8" t="s">
        <v>1170</v>
      </c>
      <c r="E861" s="39">
        <v>53000</v>
      </c>
      <c r="F861" s="40" t="s">
        <v>1096</v>
      </c>
    </row>
    <row r="862" spans="2:6" hidden="1">
      <c r="B862" s="8">
        <v>859</v>
      </c>
      <c r="C862" s="8" t="s">
        <v>385</v>
      </c>
      <c r="D862" s="8" t="s">
        <v>317</v>
      </c>
      <c r="E862" s="39">
        <v>209000</v>
      </c>
      <c r="F862" s="40" t="s">
        <v>1096</v>
      </c>
    </row>
    <row r="863" spans="2:6" hidden="1">
      <c r="B863" s="8">
        <v>860</v>
      </c>
      <c r="C863" s="8" t="s">
        <v>1171</v>
      </c>
      <c r="D863" s="8" t="s">
        <v>1172</v>
      </c>
      <c r="E863" s="39">
        <v>84000</v>
      </c>
      <c r="F863" s="40" t="s">
        <v>1096</v>
      </c>
    </row>
    <row r="864" spans="2:6" hidden="1">
      <c r="B864" s="8">
        <v>861</v>
      </c>
      <c r="C864" s="8" t="s">
        <v>1173</v>
      </c>
      <c r="D864" s="8" t="s">
        <v>1174</v>
      </c>
      <c r="E864" s="39">
        <v>129000</v>
      </c>
      <c r="F864" s="40" t="s">
        <v>1096</v>
      </c>
    </row>
    <row r="865" spans="2:6" hidden="1">
      <c r="B865" s="8">
        <v>862</v>
      </c>
      <c r="C865" s="8" t="s">
        <v>391</v>
      </c>
      <c r="D865" s="8" t="s">
        <v>1175</v>
      </c>
      <c r="E865" s="39">
        <v>547000</v>
      </c>
      <c r="F865" s="40" t="s">
        <v>1096</v>
      </c>
    </row>
    <row r="866" spans="2:6" hidden="1">
      <c r="B866" s="8">
        <v>863</v>
      </c>
      <c r="C866" s="8" t="s">
        <v>391</v>
      </c>
      <c r="D866" s="8" t="s">
        <v>1057</v>
      </c>
      <c r="E866" s="39">
        <v>86000</v>
      </c>
      <c r="F866" s="40" t="s">
        <v>1096</v>
      </c>
    </row>
    <row r="867" spans="2:6" hidden="1">
      <c r="B867" s="8">
        <v>864</v>
      </c>
      <c r="C867" s="8" t="s">
        <v>393</v>
      </c>
      <c r="D867" s="8" t="s">
        <v>507</v>
      </c>
      <c r="E867" s="39">
        <v>521000</v>
      </c>
      <c r="F867" s="40" t="s">
        <v>1096</v>
      </c>
    </row>
    <row r="868" spans="2:6" hidden="1">
      <c r="B868" s="8">
        <v>865</v>
      </c>
      <c r="C868" s="8" t="s">
        <v>1176</v>
      </c>
      <c r="D868" s="8" t="s">
        <v>1177</v>
      </c>
      <c r="E868" s="39">
        <v>98000</v>
      </c>
      <c r="F868" s="40" t="s">
        <v>1096</v>
      </c>
    </row>
    <row r="869" spans="2:6" hidden="1">
      <c r="B869" s="8">
        <v>866</v>
      </c>
      <c r="C869" s="8" t="s">
        <v>402</v>
      </c>
      <c r="D869" s="8" t="s">
        <v>199</v>
      </c>
      <c r="E869" s="39">
        <v>53000</v>
      </c>
      <c r="F869" s="40" t="s">
        <v>1096</v>
      </c>
    </row>
    <row r="870" spans="2:6" hidden="1">
      <c r="B870" s="8">
        <v>867</v>
      </c>
      <c r="C870" s="8" t="s">
        <v>406</v>
      </c>
      <c r="D870" s="8" t="s">
        <v>319</v>
      </c>
      <c r="E870" s="39">
        <v>154000</v>
      </c>
      <c r="F870" s="40" t="s">
        <v>1096</v>
      </c>
    </row>
    <row r="871" spans="2:6" hidden="1">
      <c r="B871" s="8">
        <v>868</v>
      </c>
      <c r="C871" s="8" t="s">
        <v>406</v>
      </c>
      <c r="D871" s="8" t="s">
        <v>198</v>
      </c>
      <c r="E871" s="39">
        <v>294000</v>
      </c>
      <c r="F871" s="40" t="s">
        <v>1096</v>
      </c>
    </row>
    <row r="872" spans="2:6" hidden="1">
      <c r="B872" s="8">
        <v>869</v>
      </c>
      <c r="C872" s="8" t="s">
        <v>406</v>
      </c>
      <c r="D872" s="8" t="s">
        <v>1178</v>
      </c>
      <c r="E872" s="39">
        <v>519000</v>
      </c>
      <c r="F872" s="40" t="s">
        <v>1096</v>
      </c>
    </row>
    <row r="873" spans="2:6" hidden="1">
      <c r="B873" s="8">
        <v>870</v>
      </c>
      <c r="C873" s="8" t="s">
        <v>406</v>
      </c>
      <c r="D873" s="8" t="s">
        <v>500</v>
      </c>
      <c r="E873" s="39">
        <v>76000</v>
      </c>
      <c r="F873" s="40" t="s">
        <v>1096</v>
      </c>
    </row>
    <row r="874" spans="2:6" hidden="1">
      <c r="B874" s="8">
        <v>871</v>
      </c>
      <c r="C874" s="8" t="s">
        <v>1179</v>
      </c>
      <c r="D874" s="8" t="s">
        <v>608</v>
      </c>
      <c r="E874" s="39">
        <v>172000</v>
      </c>
      <c r="F874" s="40" t="s">
        <v>1096</v>
      </c>
    </row>
    <row r="875" spans="2:6" hidden="1">
      <c r="B875" s="8">
        <v>872</v>
      </c>
      <c r="C875" s="8" t="s">
        <v>1180</v>
      </c>
      <c r="D875" s="8" t="s">
        <v>1181</v>
      </c>
      <c r="E875" s="39">
        <v>1444000</v>
      </c>
      <c r="F875" s="40" t="s">
        <v>1096</v>
      </c>
    </row>
    <row r="876" spans="2:6" hidden="1">
      <c r="B876" s="8">
        <v>873</v>
      </c>
      <c r="C876" s="8" t="s">
        <v>412</v>
      </c>
      <c r="D876" s="8" t="s">
        <v>1182</v>
      </c>
      <c r="E876" s="39">
        <v>331000</v>
      </c>
      <c r="F876" s="40" t="s">
        <v>1096</v>
      </c>
    </row>
    <row r="877" spans="2:6" hidden="1">
      <c r="B877" s="8">
        <v>874</v>
      </c>
      <c r="C877" s="8" t="s">
        <v>412</v>
      </c>
      <c r="D877" s="8" t="s">
        <v>1183</v>
      </c>
      <c r="E877" s="39">
        <v>66000</v>
      </c>
      <c r="F877" s="40" t="s">
        <v>1096</v>
      </c>
    </row>
    <row r="878" spans="2:6" hidden="1">
      <c r="B878" s="8">
        <v>875</v>
      </c>
      <c r="C878" s="8" t="s">
        <v>412</v>
      </c>
      <c r="D878" s="8" t="s">
        <v>1184</v>
      </c>
      <c r="E878" s="39">
        <v>1896000</v>
      </c>
      <c r="F878" s="40" t="s">
        <v>1096</v>
      </c>
    </row>
    <row r="879" spans="2:6" hidden="1">
      <c r="B879" s="8">
        <v>876</v>
      </c>
      <c r="C879" s="8" t="s">
        <v>414</v>
      </c>
      <c r="D879" s="8" t="s">
        <v>1185</v>
      </c>
      <c r="E879" s="39">
        <v>92000</v>
      </c>
      <c r="F879" s="40" t="s">
        <v>1096</v>
      </c>
    </row>
    <row r="880" spans="2:6" hidden="1">
      <c r="B880" s="8">
        <v>877</v>
      </c>
      <c r="C880" s="8" t="s">
        <v>416</v>
      </c>
      <c r="D880" s="8" t="s">
        <v>1186</v>
      </c>
      <c r="E880" s="39">
        <v>957000</v>
      </c>
      <c r="F880" s="40" t="s">
        <v>1096</v>
      </c>
    </row>
    <row r="881" spans="2:6" hidden="1">
      <c r="B881" s="8">
        <v>878</v>
      </c>
      <c r="C881" s="8" t="s">
        <v>1187</v>
      </c>
      <c r="D881" s="8" t="s">
        <v>890</v>
      </c>
      <c r="E881" s="39">
        <v>291000</v>
      </c>
      <c r="F881" s="40" t="s">
        <v>1096</v>
      </c>
    </row>
    <row r="882" spans="2:6" hidden="1">
      <c r="B882" s="8">
        <v>879</v>
      </c>
      <c r="C882" s="8" t="s">
        <v>1187</v>
      </c>
      <c r="D882" s="8" t="s">
        <v>198</v>
      </c>
      <c r="E882" s="39">
        <v>300000</v>
      </c>
      <c r="F882" s="40" t="s">
        <v>1096</v>
      </c>
    </row>
    <row r="883" spans="2:6" hidden="1">
      <c r="B883" s="8">
        <v>880</v>
      </c>
      <c r="C883" s="8" t="s">
        <v>420</v>
      </c>
      <c r="D883" s="8" t="s">
        <v>1188</v>
      </c>
      <c r="E883" s="39">
        <v>213000</v>
      </c>
      <c r="F883" s="40" t="s">
        <v>1096</v>
      </c>
    </row>
    <row r="884" spans="2:6" hidden="1">
      <c r="B884" s="8">
        <v>881</v>
      </c>
      <c r="C884" s="8" t="s">
        <v>420</v>
      </c>
      <c r="D884" s="8" t="s">
        <v>1189</v>
      </c>
      <c r="E884" s="39">
        <v>176000</v>
      </c>
      <c r="F884" s="40" t="s">
        <v>1096</v>
      </c>
    </row>
    <row r="885" spans="2:6" hidden="1">
      <c r="B885" s="8">
        <v>882</v>
      </c>
      <c r="C885" s="8" t="s">
        <v>420</v>
      </c>
      <c r="D885" s="8" t="s">
        <v>1190</v>
      </c>
      <c r="E885" s="39">
        <v>299000</v>
      </c>
      <c r="F885" s="40" t="s">
        <v>1096</v>
      </c>
    </row>
    <row r="886" spans="2:6" hidden="1">
      <c r="B886" s="8">
        <v>883</v>
      </c>
      <c r="C886" s="8" t="s">
        <v>425</v>
      </c>
      <c r="D886" s="8" t="s">
        <v>1191</v>
      </c>
      <c r="E886" s="39">
        <v>65000</v>
      </c>
      <c r="F886" s="40" t="s">
        <v>1096</v>
      </c>
    </row>
    <row r="887" spans="2:6" hidden="1">
      <c r="B887" s="8">
        <v>884</v>
      </c>
      <c r="C887" s="8" t="s">
        <v>425</v>
      </c>
      <c r="D887" s="8" t="s">
        <v>1192</v>
      </c>
      <c r="E887" s="39">
        <v>290000</v>
      </c>
      <c r="F887" s="40" t="s">
        <v>1096</v>
      </c>
    </row>
    <row r="888" spans="2:6" hidden="1">
      <c r="B888" s="8">
        <v>885</v>
      </c>
      <c r="C888" s="8" t="s">
        <v>427</v>
      </c>
      <c r="D888" s="8" t="s">
        <v>1193</v>
      </c>
      <c r="E888" s="39">
        <v>297000</v>
      </c>
      <c r="F888" s="40" t="s">
        <v>1096</v>
      </c>
    </row>
    <row r="889" spans="2:6" hidden="1">
      <c r="B889" s="8">
        <v>886</v>
      </c>
      <c r="C889" s="8" t="s">
        <v>428</v>
      </c>
      <c r="D889" s="8" t="s">
        <v>204</v>
      </c>
      <c r="E889" s="39">
        <v>260000</v>
      </c>
      <c r="F889" s="40" t="s">
        <v>1096</v>
      </c>
    </row>
    <row r="890" spans="2:6" hidden="1">
      <c r="B890" s="8">
        <v>887</v>
      </c>
      <c r="C890" s="8" t="s">
        <v>428</v>
      </c>
      <c r="D890" s="8" t="s">
        <v>1194</v>
      </c>
      <c r="E890" s="39">
        <v>142000</v>
      </c>
      <c r="F890" s="40" t="s">
        <v>1096</v>
      </c>
    </row>
    <row r="891" spans="2:6" hidden="1">
      <c r="B891" s="8">
        <v>888</v>
      </c>
      <c r="C891" s="8" t="s">
        <v>431</v>
      </c>
      <c r="D891" s="8" t="s">
        <v>1195</v>
      </c>
      <c r="E891" s="39">
        <v>59000</v>
      </c>
      <c r="F891" s="40" t="s">
        <v>1096</v>
      </c>
    </row>
    <row r="892" spans="2:6" hidden="1">
      <c r="B892" s="8">
        <v>889</v>
      </c>
      <c r="C892" s="8" t="s">
        <v>431</v>
      </c>
      <c r="D892" s="8" t="s">
        <v>1190</v>
      </c>
      <c r="E892" s="39">
        <v>1705000</v>
      </c>
      <c r="F892" s="40" t="s">
        <v>1096</v>
      </c>
    </row>
    <row r="893" spans="2:6" hidden="1">
      <c r="B893" s="8">
        <v>890</v>
      </c>
      <c r="C893" s="8" t="s">
        <v>436</v>
      </c>
      <c r="D893" s="8" t="s">
        <v>1196</v>
      </c>
      <c r="E893" s="39">
        <v>893000</v>
      </c>
      <c r="F893" s="40" t="s">
        <v>1096</v>
      </c>
    </row>
    <row r="894" spans="2:6" hidden="1">
      <c r="B894" s="8">
        <v>891</v>
      </c>
      <c r="C894" s="8" t="s">
        <v>1197</v>
      </c>
      <c r="D894" s="8" t="s">
        <v>198</v>
      </c>
      <c r="E894" s="39">
        <v>670000</v>
      </c>
      <c r="F894" s="40" t="s">
        <v>1096</v>
      </c>
    </row>
    <row r="895" spans="2:6" hidden="1">
      <c r="B895" s="8">
        <v>892</v>
      </c>
      <c r="C895" s="8" t="s">
        <v>1198</v>
      </c>
      <c r="D895" s="8" t="s">
        <v>1199</v>
      </c>
      <c r="E895" s="39">
        <v>360000</v>
      </c>
      <c r="F895" s="40" t="s">
        <v>1096</v>
      </c>
    </row>
    <row r="896" spans="2:6" hidden="1">
      <c r="B896" s="8">
        <v>893</v>
      </c>
      <c r="C896" s="8" t="s">
        <v>438</v>
      </c>
      <c r="D896" s="8" t="s">
        <v>1200</v>
      </c>
      <c r="E896" s="39">
        <v>94000</v>
      </c>
      <c r="F896" s="40" t="s">
        <v>1096</v>
      </c>
    </row>
    <row r="897" spans="2:6" hidden="1">
      <c r="B897" s="8">
        <v>894</v>
      </c>
      <c r="C897" s="8" t="s">
        <v>440</v>
      </c>
      <c r="D897" s="8" t="s">
        <v>211</v>
      </c>
      <c r="E897" s="39">
        <v>232000</v>
      </c>
      <c r="F897" s="40" t="s">
        <v>1096</v>
      </c>
    </row>
    <row r="898" spans="2:6" hidden="1">
      <c r="B898" s="8">
        <v>895</v>
      </c>
      <c r="C898" s="8" t="s">
        <v>442</v>
      </c>
      <c r="D898" s="8" t="s">
        <v>1201</v>
      </c>
      <c r="E898" s="39">
        <v>427000</v>
      </c>
      <c r="F898" s="40" t="s">
        <v>1096</v>
      </c>
    </row>
    <row r="899" spans="2:6" hidden="1">
      <c r="B899" s="8">
        <v>896</v>
      </c>
      <c r="C899" s="8" t="s">
        <v>1202</v>
      </c>
      <c r="D899" s="8" t="s">
        <v>211</v>
      </c>
      <c r="E899" s="39">
        <v>153000</v>
      </c>
      <c r="F899" s="40" t="s">
        <v>1096</v>
      </c>
    </row>
    <row r="900" spans="2:6" hidden="1">
      <c r="B900" s="8">
        <v>897</v>
      </c>
      <c r="C900" s="8" t="s">
        <v>1202</v>
      </c>
      <c r="D900" s="8" t="s">
        <v>1203</v>
      </c>
      <c r="E900" s="39">
        <v>9809000</v>
      </c>
      <c r="F900" s="40" t="s">
        <v>1096</v>
      </c>
    </row>
    <row r="901" spans="2:6" hidden="1">
      <c r="B901" s="8">
        <v>898</v>
      </c>
      <c r="C901" s="8" t="s">
        <v>458</v>
      </c>
      <c r="D901" s="8" t="s">
        <v>217</v>
      </c>
      <c r="E901" s="39">
        <v>557000</v>
      </c>
      <c r="F901" s="40" t="s">
        <v>1096</v>
      </c>
    </row>
    <row r="902" spans="2:6" hidden="1">
      <c r="B902" s="8">
        <v>899</v>
      </c>
      <c r="C902" s="8" t="s">
        <v>458</v>
      </c>
      <c r="D902" s="8" t="s">
        <v>211</v>
      </c>
      <c r="E902" s="39">
        <v>53000</v>
      </c>
      <c r="F902" s="40" t="s">
        <v>1096</v>
      </c>
    </row>
    <row r="903" spans="2:6" hidden="1">
      <c r="B903" s="8">
        <v>900</v>
      </c>
      <c r="C903" s="8" t="s">
        <v>461</v>
      </c>
      <c r="D903" s="8" t="s">
        <v>524</v>
      </c>
      <c r="E903" s="39">
        <v>169000</v>
      </c>
      <c r="F903" s="40" t="s">
        <v>1096</v>
      </c>
    </row>
    <row r="904" spans="2:6" hidden="1">
      <c r="B904" s="8">
        <v>901</v>
      </c>
      <c r="C904" s="8" t="s">
        <v>465</v>
      </c>
      <c r="D904" s="8" t="s">
        <v>345</v>
      </c>
      <c r="E904" s="39">
        <v>259000</v>
      </c>
      <c r="F904" s="40" t="s">
        <v>1096</v>
      </c>
    </row>
    <row r="905" spans="2:6" hidden="1">
      <c r="B905" s="8">
        <v>902</v>
      </c>
      <c r="C905" s="8" t="s">
        <v>465</v>
      </c>
      <c r="D905" s="8" t="s">
        <v>1204</v>
      </c>
      <c r="E905" s="39">
        <v>93000</v>
      </c>
      <c r="F905" s="40" t="s">
        <v>1096</v>
      </c>
    </row>
    <row r="906" spans="2:6" hidden="1">
      <c r="B906" s="8">
        <v>903</v>
      </c>
      <c r="C906" s="8" t="s">
        <v>466</v>
      </c>
      <c r="D906" s="8" t="s">
        <v>1205</v>
      </c>
      <c r="E906" s="39">
        <v>114000</v>
      </c>
      <c r="F906" s="40" t="s">
        <v>1096</v>
      </c>
    </row>
    <row r="907" spans="2:6" hidden="1">
      <c r="B907" s="8">
        <v>904</v>
      </c>
      <c r="C907" s="8" t="s">
        <v>466</v>
      </c>
      <c r="D907" s="8" t="s">
        <v>211</v>
      </c>
      <c r="E907" s="39">
        <v>173000</v>
      </c>
      <c r="F907" s="40" t="s">
        <v>1096</v>
      </c>
    </row>
    <row r="908" spans="2:6" hidden="1">
      <c r="B908" s="8">
        <v>905</v>
      </c>
      <c r="C908" s="8" t="s">
        <v>466</v>
      </c>
      <c r="D908" s="8" t="s">
        <v>1206</v>
      </c>
      <c r="E908" s="39">
        <v>53000</v>
      </c>
      <c r="F908" s="40" t="s">
        <v>1096</v>
      </c>
    </row>
    <row r="909" spans="2:6" hidden="1">
      <c r="B909" s="8">
        <v>906</v>
      </c>
      <c r="C909" s="8" t="s">
        <v>1207</v>
      </c>
      <c r="D909" s="8" t="s">
        <v>1208</v>
      </c>
      <c r="E909" s="39">
        <v>1677000</v>
      </c>
      <c r="F909" s="40" t="s">
        <v>1096</v>
      </c>
    </row>
    <row r="910" spans="2:6" hidden="1">
      <c r="B910" s="8">
        <v>907</v>
      </c>
      <c r="C910" s="8" t="s">
        <v>1209</v>
      </c>
      <c r="D910" s="8" t="s">
        <v>1056</v>
      </c>
      <c r="E910" s="39">
        <v>324000</v>
      </c>
      <c r="F910" s="40" t="s">
        <v>1096</v>
      </c>
    </row>
    <row r="911" spans="2:6" hidden="1">
      <c r="B911" s="8">
        <v>908</v>
      </c>
      <c r="C911" s="8" t="s">
        <v>467</v>
      </c>
      <c r="D911" s="8" t="s">
        <v>1210</v>
      </c>
      <c r="E911" s="39">
        <v>457000</v>
      </c>
      <c r="F911" s="40" t="s">
        <v>1096</v>
      </c>
    </row>
    <row r="912" spans="2:6" hidden="1">
      <c r="B912" s="8">
        <v>909</v>
      </c>
      <c r="C912" s="8" t="s">
        <v>470</v>
      </c>
      <c r="D912" s="8" t="s">
        <v>319</v>
      </c>
      <c r="E912" s="39">
        <v>123000</v>
      </c>
      <c r="F912" s="40" t="s">
        <v>1096</v>
      </c>
    </row>
    <row r="913" spans="2:6" hidden="1">
      <c r="B913" s="8">
        <v>910</v>
      </c>
      <c r="C913" s="8" t="s">
        <v>471</v>
      </c>
      <c r="D913" s="8" t="s">
        <v>211</v>
      </c>
      <c r="E913" s="39">
        <v>232000</v>
      </c>
      <c r="F913" s="40" t="s">
        <v>1096</v>
      </c>
    </row>
    <row r="914" spans="2:6" hidden="1">
      <c r="B914" s="8">
        <v>911</v>
      </c>
      <c r="C914" s="8" t="s">
        <v>1211</v>
      </c>
      <c r="D914" s="8" t="s">
        <v>1212</v>
      </c>
      <c r="E914" s="39">
        <v>1987000</v>
      </c>
      <c r="F914" s="40" t="s">
        <v>1096</v>
      </c>
    </row>
    <row r="915" spans="2:6" hidden="1">
      <c r="B915" s="8">
        <v>912</v>
      </c>
      <c r="C915" s="8" t="s">
        <v>483</v>
      </c>
      <c r="D915" s="8" t="s">
        <v>1213</v>
      </c>
      <c r="E915" s="39">
        <v>378000</v>
      </c>
      <c r="F915" s="40" t="s">
        <v>1096</v>
      </c>
    </row>
    <row r="916" spans="2:6" hidden="1">
      <c r="B916" s="8">
        <v>913</v>
      </c>
      <c r="C916" s="8" t="s">
        <v>483</v>
      </c>
      <c r="D916" s="8" t="s">
        <v>199</v>
      </c>
      <c r="E916" s="39">
        <v>53000</v>
      </c>
      <c r="F916" s="40" t="s">
        <v>1096</v>
      </c>
    </row>
    <row r="917" spans="2:6" hidden="1">
      <c r="B917" s="8">
        <v>914</v>
      </c>
      <c r="C917" s="8" t="s">
        <v>1214</v>
      </c>
      <c r="D917" s="8" t="s">
        <v>198</v>
      </c>
      <c r="E917" s="39">
        <v>1550000</v>
      </c>
      <c r="F917" s="40" t="s">
        <v>1096</v>
      </c>
    </row>
    <row r="918" spans="2:6" hidden="1">
      <c r="B918" s="8">
        <v>915</v>
      </c>
      <c r="C918" s="8" t="s">
        <v>485</v>
      </c>
      <c r="D918" s="8" t="s">
        <v>1215</v>
      </c>
      <c r="E918" s="39">
        <v>924000</v>
      </c>
      <c r="F918" s="40" t="s">
        <v>1096</v>
      </c>
    </row>
    <row r="919" spans="2:6" hidden="1">
      <c r="B919" s="8">
        <v>916</v>
      </c>
      <c r="C919" s="8" t="s">
        <v>1216</v>
      </c>
      <c r="D919" s="8" t="s">
        <v>1217</v>
      </c>
      <c r="E919" s="39">
        <v>342000</v>
      </c>
      <c r="F919" s="40" t="s">
        <v>1096</v>
      </c>
    </row>
    <row r="920" spans="2:6" hidden="1">
      <c r="B920" s="8">
        <v>917</v>
      </c>
      <c r="C920" s="8" t="s">
        <v>1218</v>
      </c>
      <c r="D920" s="8" t="s">
        <v>1219</v>
      </c>
      <c r="E920" s="39">
        <v>65000</v>
      </c>
      <c r="F920" s="40" t="s">
        <v>1096</v>
      </c>
    </row>
    <row r="921" spans="2:6" hidden="1">
      <c r="B921" s="8">
        <v>918</v>
      </c>
      <c r="C921" s="8" t="s">
        <v>1218</v>
      </c>
      <c r="D921" s="8" t="s">
        <v>289</v>
      </c>
      <c r="E921" s="39">
        <v>63000</v>
      </c>
      <c r="F921" s="40" t="s">
        <v>1096</v>
      </c>
    </row>
    <row r="922" spans="2:6" hidden="1">
      <c r="B922" s="8">
        <v>919</v>
      </c>
      <c r="C922" s="8" t="s">
        <v>1218</v>
      </c>
      <c r="D922" s="8" t="s">
        <v>198</v>
      </c>
      <c r="E922" s="39">
        <v>444000</v>
      </c>
      <c r="F922" s="40" t="s">
        <v>1096</v>
      </c>
    </row>
    <row r="923" spans="2:6" hidden="1">
      <c r="B923" s="8">
        <v>920</v>
      </c>
      <c r="C923" s="8" t="s">
        <v>1218</v>
      </c>
      <c r="D923" s="8" t="s">
        <v>507</v>
      </c>
      <c r="E923" s="39">
        <v>552000</v>
      </c>
      <c r="F923" s="40" t="s">
        <v>1096</v>
      </c>
    </row>
    <row r="924" spans="2:6" hidden="1">
      <c r="B924" s="8">
        <v>921</v>
      </c>
      <c r="C924" s="8" t="s">
        <v>1220</v>
      </c>
      <c r="D924" s="8" t="s">
        <v>1221</v>
      </c>
      <c r="E924" s="39">
        <v>132000</v>
      </c>
      <c r="F924" s="40" t="s">
        <v>1096</v>
      </c>
    </row>
    <row r="925" spans="2:6" hidden="1">
      <c r="B925" s="8">
        <v>922</v>
      </c>
      <c r="C925" s="8" t="s">
        <v>1220</v>
      </c>
      <c r="D925" s="8" t="s">
        <v>453</v>
      </c>
      <c r="E925" s="39">
        <v>130000</v>
      </c>
      <c r="F925" s="40" t="s">
        <v>1096</v>
      </c>
    </row>
    <row r="926" spans="2:6" hidden="1">
      <c r="B926" s="8">
        <v>923</v>
      </c>
      <c r="C926" s="8" t="s">
        <v>1222</v>
      </c>
      <c r="D926" s="8" t="s">
        <v>211</v>
      </c>
      <c r="E926" s="39">
        <v>264000</v>
      </c>
      <c r="F926" s="40" t="s">
        <v>1096</v>
      </c>
    </row>
    <row r="927" spans="2:6" hidden="1">
      <c r="B927" s="8">
        <v>924</v>
      </c>
      <c r="C927" s="8" t="s">
        <v>491</v>
      </c>
      <c r="D927" s="8" t="s">
        <v>247</v>
      </c>
      <c r="E927" s="39">
        <v>84000</v>
      </c>
      <c r="F927" s="40" t="s">
        <v>1096</v>
      </c>
    </row>
    <row r="928" spans="2:6" hidden="1">
      <c r="B928" s="8">
        <v>925</v>
      </c>
      <c r="C928" s="8" t="s">
        <v>495</v>
      </c>
      <c r="D928" s="8" t="s">
        <v>211</v>
      </c>
      <c r="E928" s="39">
        <v>84000</v>
      </c>
      <c r="F928" s="40" t="s">
        <v>1096</v>
      </c>
    </row>
    <row r="929" spans="2:6" hidden="1">
      <c r="B929" s="8">
        <v>926</v>
      </c>
      <c r="C929" s="8" t="s">
        <v>499</v>
      </c>
      <c r="D929" s="8" t="s">
        <v>1223</v>
      </c>
      <c r="E929" s="39">
        <v>222000</v>
      </c>
      <c r="F929" s="40" t="s">
        <v>1096</v>
      </c>
    </row>
    <row r="930" spans="2:6" hidden="1">
      <c r="B930" s="8">
        <v>927</v>
      </c>
      <c r="C930" s="8" t="s">
        <v>192</v>
      </c>
      <c r="D930" s="8" t="s">
        <v>1224</v>
      </c>
      <c r="E930" s="39">
        <v>229000</v>
      </c>
      <c r="F930" s="40" t="s">
        <v>1096</v>
      </c>
    </row>
    <row r="931" spans="2:6" hidden="1">
      <c r="B931" s="8">
        <v>928</v>
      </c>
      <c r="C931" s="8" t="s">
        <v>192</v>
      </c>
      <c r="D931" s="8" t="s">
        <v>1225</v>
      </c>
      <c r="E931" s="39">
        <v>384000</v>
      </c>
      <c r="F931" s="40" t="s">
        <v>1096</v>
      </c>
    </row>
    <row r="932" spans="2:6" hidden="1">
      <c r="B932" s="8">
        <v>929</v>
      </c>
      <c r="C932" s="8" t="s">
        <v>192</v>
      </c>
      <c r="D932" s="8" t="s">
        <v>699</v>
      </c>
      <c r="E932" s="39">
        <v>92000</v>
      </c>
      <c r="F932" s="40" t="s">
        <v>1096</v>
      </c>
    </row>
    <row r="933" spans="2:6" hidden="1">
      <c r="B933" s="8">
        <v>930</v>
      </c>
      <c r="C933" s="8" t="s">
        <v>504</v>
      </c>
      <c r="D933" s="8" t="s">
        <v>1226</v>
      </c>
      <c r="E933" s="39">
        <v>167000</v>
      </c>
      <c r="F933" s="40" t="s">
        <v>1096</v>
      </c>
    </row>
    <row r="934" spans="2:6" hidden="1">
      <c r="B934" s="8">
        <v>931</v>
      </c>
      <c r="C934" s="8" t="s">
        <v>505</v>
      </c>
      <c r="D934" s="8" t="s">
        <v>1227</v>
      </c>
      <c r="E934" s="39">
        <v>1088000</v>
      </c>
      <c r="F934" s="40" t="s">
        <v>1096</v>
      </c>
    </row>
    <row r="935" spans="2:6" hidden="1">
      <c r="B935" s="8">
        <v>932</v>
      </c>
      <c r="C935" s="8" t="s">
        <v>505</v>
      </c>
      <c r="D935" s="8" t="s">
        <v>1228</v>
      </c>
      <c r="E935" s="39">
        <v>1778000</v>
      </c>
      <c r="F935" s="40" t="s">
        <v>1096</v>
      </c>
    </row>
    <row r="936" spans="2:6" hidden="1">
      <c r="B936" s="8">
        <v>933</v>
      </c>
      <c r="C936" s="8" t="s">
        <v>505</v>
      </c>
      <c r="D936" s="8" t="s">
        <v>1229</v>
      </c>
      <c r="E936" s="39">
        <v>687000</v>
      </c>
      <c r="F936" s="40" t="s">
        <v>1096</v>
      </c>
    </row>
    <row r="937" spans="2:6" hidden="1">
      <c r="B937" s="8">
        <v>934</v>
      </c>
      <c r="C937" s="8" t="s">
        <v>506</v>
      </c>
      <c r="D937" s="8" t="s">
        <v>1230</v>
      </c>
      <c r="E937" s="39">
        <v>360000</v>
      </c>
      <c r="F937" s="40" t="s">
        <v>1096</v>
      </c>
    </row>
    <row r="938" spans="2:6" hidden="1">
      <c r="B938" s="8">
        <v>935</v>
      </c>
      <c r="C938" s="8" t="s">
        <v>506</v>
      </c>
      <c r="D938" s="8" t="s">
        <v>1231</v>
      </c>
      <c r="E938" s="39">
        <v>120000</v>
      </c>
      <c r="F938" s="40" t="s">
        <v>1096</v>
      </c>
    </row>
    <row r="939" spans="2:6" hidden="1">
      <c r="B939" s="8">
        <v>936</v>
      </c>
      <c r="C939" s="8" t="s">
        <v>514</v>
      </c>
      <c r="D939" s="8" t="s">
        <v>1232</v>
      </c>
      <c r="E939" s="39">
        <v>53000</v>
      </c>
      <c r="F939" s="40" t="s">
        <v>1096</v>
      </c>
    </row>
    <row r="940" spans="2:6" hidden="1">
      <c r="B940" s="8">
        <v>937</v>
      </c>
      <c r="C940" s="8" t="s">
        <v>514</v>
      </c>
      <c r="D940" s="8" t="s">
        <v>198</v>
      </c>
      <c r="E940" s="39">
        <v>318000</v>
      </c>
      <c r="F940" s="40" t="s">
        <v>1096</v>
      </c>
    </row>
    <row r="941" spans="2:6" hidden="1">
      <c r="B941" s="8">
        <v>938</v>
      </c>
      <c r="C941" s="8" t="s">
        <v>1233</v>
      </c>
      <c r="D941" s="8" t="s">
        <v>1234</v>
      </c>
      <c r="E941" s="39">
        <v>531000</v>
      </c>
      <c r="F941" s="40" t="s">
        <v>1096</v>
      </c>
    </row>
    <row r="942" spans="2:6" hidden="1">
      <c r="B942" s="8">
        <v>939</v>
      </c>
      <c r="C942" s="8" t="s">
        <v>1233</v>
      </c>
      <c r="D942" s="8" t="s">
        <v>1235</v>
      </c>
      <c r="E942" s="39">
        <v>158000</v>
      </c>
      <c r="F942" s="40" t="s">
        <v>1096</v>
      </c>
    </row>
    <row r="943" spans="2:6" hidden="1">
      <c r="B943" s="8">
        <v>940</v>
      </c>
      <c r="C943" s="8" t="s">
        <v>515</v>
      </c>
      <c r="D943" s="8" t="s">
        <v>1236</v>
      </c>
      <c r="E943" s="39">
        <v>309000</v>
      </c>
      <c r="F943" s="40" t="s">
        <v>1096</v>
      </c>
    </row>
    <row r="944" spans="2:6" hidden="1">
      <c r="B944" s="8">
        <v>941</v>
      </c>
      <c r="C944" s="8" t="s">
        <v>515</v>
      </c>
      <c r="D944" s="8" t="s">
        <v>1237</v>
      </c>
      <c r="E944" s="39">
        <v>53000</v>
      </c>
      <c r="F944" s="40" t="s">
        <v>1096</v>
      </c>
    </row>
    <row r="945" spans="2:6" hidden="1">
      <c r="B945" s="8">
        <v>942</v>
      </c>
      <c r="C945" s="8" t="s">
        <v>515</v>
      </c>
      <c r="D945" s="8" t="s">
        <v>1148</v>
      </c>
      <c r="E945" s="39">
        <v>494000</v>
      </c>
      <c r="F945" s="40" t="s">
        <v>1096</v>
      </c>
    </row>
    <row r="946" spans="2:6" hidden="1">
      <c r="B946" s="8">
        <v>943</v>
      </c>
      <c r="C946" s="8" t="s">
        <v>520</v>
      </c>
      <c r="D946" s="8" t="s">
        <v>1238</v>
      </c>
      <c r="E946" s="39">
        <v>691000</v>
      </c>
      <c r="F946" s="40" t="s">
        <v>1096</v>
      </c>
    </row>
    <row r="947" spans="2:6" hidden="1">
      <c r="B947" s="8">
        <v>944</v>
      </c>
      <c r="C947" s="8" t="s">
        <v>520</v>
      </c>
      <c r="D947" s="8" t="s">
        <v>507</v>
      </c>
      <c r="E947" s="39">
        <v>300000</v>
      </c>
      <c r="F947" s="40" t="s">
        <v>1096</v>
      </c>
    </row>
    <row r="948" spans="2:6" hidden="1">
      <c r="B948" s="8">
        <v>945</v>
      </c>
      <c r="C948" s="8" t="s">
        <v>521</v>
      </c>
      <c r="D948" s="8" t="s">
        <v>1239</v>
      </c>
      <c r="E948" s="39">
        <v>226000</v>
      </c>
      <c r="F948" s="40" t="s">
        <v>1096</v>
      </c>
    </row>
    <row r="949" spans="2:6" hidden="1">
      <c r="B949" s="8">
        <v>946</v>
      </c>
      <c r="C949" s="8" t="s">
        <v>527</v>
      </c>
      <c r="D949" s="8" t="s">
        <v>198</v>
      </c>
      <c r="E949" s="39">
        <v>444000</v>
      </c>
      <c r="F949" s="40" t="s">
        <v>1096</v>
      </c>
    </row>
    <row r="950" spans="2:6" hidden="1">
      <c r="B950" s="8">
        <v>947</v>
      </c>
      <c r="C950" s="8" t="s">
        <v>532</v>
      </c>
      <c r="D950" s="8" t="s">
        <v>217</v>
      </c>
      <c r="E950" s="39">
        <v>318000</v>
      </c>
      <c r="F950" s="40" t="s">
        <v>1096</v>
      </c>
    </row>
    <row r="951" spans="2:6" hidden="1">
      <c r="B951" s="8">
        <v>948</v>
      </c>
      <c r="C951" s="8" t="s">
        <v>532</v>
      </c>
      <c r="D951" s="8" t="s">
        <v>1240</v>
      </c>
      <c r="E951" s="39">
        <v>169000</v>
      </c>
      <c r="F951" s="40" t="s">
        <v>1096</v>
      </c>
    </row>
    <row r="952" spans="2:6" hidden="1">
      <c r="B952" s="8">
        <v>949</v>
      </c>
      <c r="C952" s="8" t="s">
        <v>1241</v>
      </c>
      <c r="D952" s="8" t="s">
        <v>1242</v>
      </c>
      <c r="E952" s="39">
        <v>154000</v>
      </c>
      <c r="F952" s="40" t="s">
        <v>1096</v>
      </c>
    </row>
    <row r="953" spans="2:6" hidden="1">
      <c r="B953" s="8">
        <v>950</v>
      </c>
      <c r="C953" s="8" t="s">
        <v>1241</v>
      </c>
      <c r="D953" s="8" t="s">
        <v>1243</v>
      </c>
      <c r="E953" s="39">
        <v>281000</v>
      </c>
      <c r="F953" s="40" t="s">
        <v>1096</v>
      </c>
    </row>
    <row r="954" spans="2:6" hidden="1">
      <c r="B954" s="8">
        <v>951</v>
      </c>
      <c r="C954" s="8" t="s">
        <v>1241</v>
      </c>
      <c r="D954" s="8" t="s">
        <v>1244</v>
      </c>
      <c r="E954" s="39">
        <v>101000</v>
      </c>
      <c r="F954" s="40" t="s">
        <v>1096</v>
      </c>
    </row>
    <row r="955" spans="2:6" hidden="1">
      <c r="B955" s="8">
        <v>952</v>
      </c>
      <c r="C955" s="8" t="s">
        <v>537</v>
      </c>
      <c r="D955" s="8" t="s">
        <v>507</v>
      </c>
      <c r="E955" s="39">
        <v>290000</v>
      </c>
      <c r="F955" s="40" t="s">
        <v>1096</v>
      </c>
    </row>
    <row r="956" spans="2:6" hidden="1">
      <c r="B956" s="8">
        <v>953</v>
      </c>
      <c r="C956" s="8" t="s">
        <v>539</v>
      </c>
      <c r="D956" s="8" t="s">
        <v>211</v>
      </c>
      <c r="E956" s="39">
        <v>86000</v>
      </c>
      <c r="F956" s="40" t="s">
        <v>1096</v>
      </c>
    </row>
    <row r="957" spans="2:6" hidden="1">
      <c r="B957" s="8">
        <v>954</v>
      </c>
      <c r="C957" s="8" t="s">
        <v>543</v>
      </c>
      <c r="D957" s="8" t="s">
        <v>1245</v>
      </c>
      <c r="E957" s="39">
        <v>154000</v>
      </c>
      <c r="F957" s="40" t="s">
        <v>1096</v>
      </c>
    </row>
    <row r="958" spans="2:6" hidden="1">
      <c r="B958" s="8">
        <v>955</v>
      </c>
      <c r="C958" s="8" t="s">
        <v>1246</v>
      </c>
      <c r="D958" s="8" t="s">
        <v>502</v>
      </c>
      <c r="E958" s="39">
        <v>74000</v>
      </c>
      <c r="F958" s="40" t="s">
        <v>1096</v>
      </c>
    </row>
    <row r="959" spans="2:6" hidden="1">
      <c r="B959" s="8">
        <v>956</v>
      </c>
      <c r="C959" s="8" t="s">
        <v>545</v>
      </c>
      <c r="D959" s="8" t="s">
        <v>1247</v>
      </c>
      <c r="E959" s="39">
        <v>116000</v>
      </c>
      <c r="F959" s="40" t="s">
        <v>1096</v>
      </c>
    </row>
    <row r="960" spans="2:6" hidden="1">
      <c r="B960" s="8">
        <v>957</v>
      </c>
      <c r="C960" s="8" t="s">
        <v>547</v>
      </c>
      <c r="D960" s="8" t="s">
        <v>1182</v>
      </c>
      <c r="E960" s="39">
        <v>331000</v>
      </c>
      <c r="F960" s="40" t="s">
        <v>1096</v>
      </c>
    </row>
    <row r="961" spans="2:6" hidden="1">
      <c r="B961" s="8">
        <v>958</v>
      </c>
      <c r="C961" s="8" t="s">
        <v>547</v>
      </c>
      <c r="D961" s="8" t="s">
        <v>1248</v>
      </c>
      <c r="E961" s="39">
        <v>118000</v>
      </c>
      <c r="F961" s="40" t="s">
        <v>1096</v>
      </c>
    </row>
    <row r="962" spans="2:6" hidden="1">
      <c r="B962" s="8">
        <v>959</v>
      </c>
      <c r="C962" s="8" t="s">
        <v>547</v>
      </c>
      <c r="D962" s="8" t="s">
        <v>1249</v>
      </c>
      <c r="E962" s="39">
        <v>162000</v>
      </c>
      <c r="F962" s="40" t="s">
        <v>1096</v>
      </c>
    </row>
    <row r="963" spans="2:6" hidden="1">
      <c r="B963" s="8">
        <v>960</v>
      </c>
      <c r="C963" s="8" t="s">
        <v>549</v>
      </c>
      <c r="D963" s="8" t="s">
        <v>198</v>
      </c>
      <c r="E963" s="39">
        <v>561000</v>
      </c>
      <c r="F963" s="40" t="s">
        <v>1096</v>
      </c>
    </row>
    <row r="964" spans="2:6" hidden="1">
      <c r="B964" s="8">
        <v>961</v>
      </c>
      <c r="C964" s="8" t="s">
        <v>554</v>
      </c>
      <c r="D964" s="8" t="s">
        <v>1109</v>
      </c>
      <c r="E964" s="39">
        <v>716000</v>
      </c>
      <c r="F964" s="40" t="s">
        <v>1096</v>
      </c>
    </row>
    <row r="965" spans="2:6" hidden="1">
      <c r="B965" s="8">
        <v>962</v>
      </c>
      <c r="C965" s="8" t="s">
        <v>554</v>
      </c>
      <c r="D965" s="8" t="s">
        <v>1250</v>
      </c>
      <c r="E965" s="39">
        <v>19000</v>
      </c>
      <c r="F965" s="40" t="s">
        <v>1096</v>
      </c>
    </row>
    <row r="966" spans="2:6" hidden="1">
      <c r="B966" s="8">
        <v>963</v>
      </c>
      <c r="C966" s="8" t="s">
        <v>1251</v>
      </c>
      <c r="D966" s="8" t="s">
        <v>648</v>
      </c>
      <c r="E966" s="39">
        <v>84000</v>
      </c>
      <c r="F966" s="40" t="s">
        <v>1096</v>
      </c>
    </row>
    <row r="967" spans="2:6" hidden="1">
      <c r="B967" s="8">
        <v>964</v>
      </c>
      <c r="C967" s="8" t="s">
        <v>1251</v>
      </c>
      <c r="D967" s="8" t="s">
        <v>319</v>
      </c>
      <c r="E967" s="39">
        <v>185000</v>
      </c>
      <c r="F967" s="40" t="s">
        <v>1096</v>
      </c>
    </row>
    <row r="968" spans="2:6" hidden="1">
      <c r="B968" s="8">
        <v>965</v>
      </c>
      <c r="C968" s="8" t="s">
        <v>557</v>
      </c>
      <c r="D968" s="8" t="s">
        <v>1252</v>
      </c>
      <c r="E968" s="39">
        <v>111000</v>
      </c>
      <c r="F968" s="40" t="s">
        <v>1096</v>
      </c>
    </row>
    <row r="969" spans="2:6" hidden="1">
      <c r="B969" s="8">
        <v>966</v>
      </c>
      <c r="C969" s="8" t="s">
        <v>557</v>
      </c>
      <c r="D969" s="8" t="s">
        <v>1253</v>
      </c>
      <c r="E969" s="39">
        <v>229000</v>
      </c>
      <c r="F969" s="40" t="s">
        <v>1096</v>
      </c>
    </row>
    <row r="970" spans="2:6" hidden="1">
      <c r="B970" s="8">
        <v>967</v>
      </c>
      <c r="C970" s="8" t="s">
        <v>562</v>
      </c>
      <c r="D970" s="8" t="s">
        <v>1254</v>
      </c>
      <c r="E970" s="39">
        <v>152000</v>
      </c>
      <c r="F970" s="40" t="s">
        <v>1096</v>
      </c>
    </row>
    <row r="971" spans="2:6" hidden="1">
      <c r="B971" s="8">
        <v>968</v>
      </c>
      <c r="C971" s="8" t="s">
        <v>1097</v>
      </c>
      <c r="D971" s="8" t="s">
        <v>1255</v>
      </c>
      <c r="E971" s="39">
        <v>278000</v>
      </c>
      <c r="F971" s="40" t="s">
        <v>1096</v>
      </c>
    </row>
    <row r="972" spans="2:6" hidden="1">
      <c r="B972" s="8">
        <v>969</v>
      </c>
      <c r="C972" s="8" t="s">
        <v>563</v>
      </c>
      <c r="D972" s="8" t="s">
        <v>317</v>
      </c>
      <c r="E972" s="39">
        <v>414000</v>
      </c>
      <c r="F972" s="40" t="s">
        <v>1096</v>
      </c>
    </row>
    <row r="973" spans="2:6" hidden="1">
      <c r="B973" s="8">
        <v>970</v>
      </c>
      <c r="C973" s="8" t="s">
        <v>1256</v>
      </c>
      <c r="D973" s="8" t="s">
        <v>217</v>
      </c>
      <c r="E973" s="39">
        <v>1801000</v>
      </c>
      <c r="F973" s="40" t="s">
        <v>1096</v>
      </c>
    </row>
    <row r="974" spans="2:6" hidden="1">
      <c r="B974" s="8">
        <v>971</v>
      </c>
      <c r="C974" s="8" t="s">
        <v>564</v>
      </c>
      <c r="D974" s="8" t="s">
        <v>909</v>
      </c>
      <c r="E974" s="39">
        <v>1838000</v>
      </c>
      <c r="F974" s="40" t="s">
        <v>1096</v>
      </c>
    </row>
    <row r="975" spans="2:6" hidden="1">
      <c r="B975" s="8">
        <v>972</v>
      </c>
      <c r="C975" s="8" t="s">
        <v>564</v>
      </c>
      <c r="D975" s="8" t="s">
        <v>453</v>
      </c>
      <c r="E975" s="39">
        <v>154000</v>
      </c>
      <c r="F975" s="40" t="s">
        <v>1096</v>
      </c>
    </row>
    <row r="976" spans="2:6" hidden="1">
      <c r="B976" s="8">
        <v>973</v>
      </c>
      <c r="C976" s="8" t="s">
        <v>566</v>
      </c>
      <c r="D976" s="8" t="s">
        <v>198</v>
      </c>
      <c r="E976" s="39">
        <v>1340000</v>
      </c>
      <c r="F976" s="40" t="s">
        <v>1096</v>
      </c>
    </row>
    <row r="977" spans="2:6" hidden="1">
      <c r="B977" s="8">
        <v>974</v>
      </c>
      <c r="C977" s="8" t="s">
        <v>566</v>
      </c>
      <c r="D977" s="8" t="s">
        <v>1257</v>
      </c>
      <c r="E977" s="39">
        <v>59000</v>
      </c>
      <c r="F977" s="40" t="s">
        <v>1096</v>
      </c>
    </row>
    <row r="978" spans="2:6" hidden="1">
      <c r="B978" s="8">
        <v>975</v>
      </c>
      <c r="C978" s="8" t="s">
        <v>1258</v>
      </c>
      <c r="D978" s="8" t="s">
        <v>211</v>
      </c>
      <c r="E978" s="39">
        <v>323000</v>
      </c>
      <c r="F978" s="40" t="s">
        <v>1096</v>
      </c>
    </row>
    <row r="979" spans="2:6" hidden="1">
      <c r="B979" s="8">
        <v>976</v>
      </c>
      <c r="C979" s="8" t="s">
        <v>1259</v>
      </c>
      <c r="D979" s="8" t="s">
        <v>1260</v>
      </c>
      <c r="E979" s="39">
        <v>265000</v>
      </c>
      <c r="F979" s="40" t="s">
        <v>1096</v>
      </c>
    </row>
    <row r="980" spans="2:6" hidden="1">
      <c r="B980" s="8">
        <v>977</v>
      </c>
      <c r="C980" s="8" t="s">
        <v>568</v>
      </c>
      <c r="D980" s="8" t="s">
        <v>1261</v>
      </c>
      <c r="E980" s="39">
        <v>133000</v>
      </c>
      <c r="F980" s="40" t="s">
        <v>1096</v>
      </c>
    </row>
    <row r="981" spans="2:6" hidden="1">
      <c r="B981" s="8">
        <v>978</v>
      </c>
      <c r="C981" s="8" t="s">
        <v>568</v>
      </c>
      <c r="D981" s="8" t="s">
        <v>900</v>
      </c>
      <c r="E981" s="39">
        <v>142000</v>
      </c>
      <c r="F981" s="40" t="s">
        <v>1096</v>
      </c>
    </row>
    <row r="982" spans="2:6" hidden="1">
      <c r="B982" s="8">
        <v>979</v>
      </c>
      <c r="C982" s="8" t="s">
        <v>1262</v>
      </c>
      <c r="D982" s="8" t="s">
        <v>1263</v>
      </c>
      <c r="E982" s="39">
        <v>229000</v>
      </c>
      <c r="F982" s="40" t="s">
        <v>1096</v>
      </c>
    </row>
    <row r="983" spans="2:6" hidden="1">
      <c r="B983" s="8">
        <v>980</v>
      </c>
      <c r="C983" s="8" t="s">
        <v>580</v>
      </c>
      <c r="D983" s="8" t="s">
        <v>217</v>
      </c>
      <c r="E983" s="39">
        <v>498000</v>
      </c>
      <c r="F983" s="40" t="s">
        <v>1096</v>
      </c>
    </row>
    <row r="984" spans="2:6" hidden="1">
      <c r="B984" s="8">
        <v>981</v>
      </c>
      <c r="C984" s="8" t="s">
        <v>580</v>
      </c>
      <c r="D984" s="8" t="s">
        <v>1264</v>
      </c>
      <c r="E984" s="39">
        <v>280000</v>
      </c>
      <c r="F984" s="40" t="s">
        <v>1096</v>
      </c>
    </row>
    <row r="985" spans="2:6" hidden="1">
      <c r="B985" s="8">
        <v>982</v>
      </c>
      <c r="C985" s="8" t="s">
        <v>580</v>
      </c>
      <c r="D985" s="8" t="s">
        <v>688</v>
      </c>
      <c r="E985" s="39">
        <v>677000</v>
      </c>
      <c r="F985" s="40" t="s">
        <v>1096</v>
      </c>
    </row>
    <row r="986" spans="2:6" hidden="1">
      <c r="B986" s="8">
        <v>983</v>
      </c>
      <c r="C986" s="8" t="s">
        <v>580</v>
      </c>
      <c r="D986" s="8" t="s">
        <v>1265</v>
      </c>
      <c r="E986" s="39">
        <v>188000</v>
      </c>
      <c r="F986" s="40" t="s">
        <v>1096</v>
      </c>
    </row>
    <row r="987" spans="2:6" hidden="1">
      <c r="B987" s="8">
        <v>984</v>
      </c>
      <c r="C987" s="8" t="s">
        <v>580</v>
      </c>
      <c r="D987" s="8" t="s">
        <v>1266</v>
      </c>
      <c r="E987" s="39">
        <v>451000</v>
      </c>
      <c r="F987" s="40" t="s">
        <v>1096</v>
      </c>
    </row>
    <row r="988" spans="2:6" hidden="1">
      <c r="B988" s="8">
        <v>985</v>
      </c>
      <c r="C988" s="8" t="s">
        <v>583</v>
      </c>
      <c r="D988" s="8" t="s">
        <v>1267</v>
      </c>
      <c r="E988" s="39">
        <v>599000</v>
      </c>
      <c r="F988" s="40" t="s">
        <v>1096</v>
      </c>
    </row>
    <row r="989" spans="2:6" hidden="1">
      <c r="B989" s="8">
        <v>986</v>
      </c>
      <c r="C989" s="8" t="s">
        <v>583</v>
      </c>
      <c r="D989" s="8" t="s">
        <v>775</v>
      </c>
      <c r="E989" s="39">
        <v>288000</v>
      </c>
      <c r="F989" s="40" t="s">
        <v>1096</v>
      </c>
    </row>
    <row r="990" spans="2:6" hidden="1">
      <c r="B990" s="8">
        <v>987</v>
      </c>
      <c r="C990" s="8" t="s">
        <v>583</v>
      </c>
      <c r="D990" s="8" t="s">
        <v>1231</v>
      </c>
      <c r="E990" s="39">
        <v>120000</v>
      </c>
      <c r="F990" s="40" t="s">
        <v>1096</v>
      </c>
    </row>
    <row r="991" spans="2:6" hidden="1">
      <c r="B991" s="8">
        <v>988</v>
      </c>
      <c r="C991" s="8" t="s">
        <v>583</v>
      </c>
      <c r="D991" s="8" t="s">
        <v>1268</v>
      </c>
      <c r="E991" s="39">
        <v>405000</v>
      </c>
      <c r="F991" s="40" t="s">
        <v>1096</v>
      </c>
    </row>
    <row r="992" spans="2:6" hidden="1">
      <c r="B992" s="8">
        <v>989</v>
      </c>
      <c r="C992" s="8" t="s">
        <v>583</v>
      </c>
      <c r="D992" s="8" t="s">
        <v>1269</v>
      </c>
      <c r="E992" s="39">
        <v>111000</v>
      </c>
      <c r="F992" s="40" t="s">
        <v>1096</v>
      </c>
    </row>
    <row r="993" spans="2:6" hidden="1">
      <c r="B993" s="8">
        <v>990</v>
      </c>
      <c r="C993" s="8" t="s">
        <v>583</v>
      </c>
      <c r="D993" s="8" t="s">
        <v>1270</v>
      </c>
      <c r="E993" s="39">
        <v>93000</v>
      </c>
      <c r="F993" s="40" t="s">
        <v>1096</v>
      </c>
    </row>
    <row r="994" spans="2:6" hidden="1">
      <c r="B994" s="8">
        <v>991</v>
      </c>
      <c r="C994" s="8" t="s">
        <v>588</v>
      </c>
      <c r="D994" s="8" t="s">
        <v>1271</v>
      </c>
      <c r="E994" s="39">
        <v>637000</v>
      </c>
      <c r="F994" s="40" t="s">
        <v>1096</v>
      </c>
    </row>
    <row r="995" spans="2:6" hidden="1">
      <c r="B995" s="8">
        <v>992</v>
      </c>
      <c r="C995" s="8" t="s">
        <v>588</v>
      </c>
      <c r="D995" s="8" t="s">
        <v>1272</v>
      </c>
      <c r="E995" s="39">
        <v>199000</v>
      </c>
      <c r="F995" s="40" t="s">
        <v>1096</v>
      </c>
    </row>
    <row r="996" spans="2:6" hidden="1">
      <c r="B996" s="8">
        <v>993</v>
      </c>
      <c r="C996" s="8" t="s">
        <v>588</v>
      </c>
      <c r="D996" s="8" t="s">
        <v>217</v>
      </c>
      <c r="E996" s="39">
        <v>1089000</v>
      </c>
      <c r="F996" s="40" t="s">
        <v>1096</v>
      </c>
    </row>
    <row r="997" spans="2:6" hidden="1">
      <c r="B997" s="8">
        <v>994</v>
      </c>
      <c r="C997" s="8" t="s">
        <v>1273</v>
      </c>
      <c r="D997" s="8" t="s">
        <v>1274</v>
      </c>
      <c r="E997" s="39">
        <v>220000</v>
      </c>
      <c r="F997" s="40" t="s">
        <v>1096</v>
      </c>
    </row>
    <row r="998" spans="2:6" hidden="1">
      <c r="B998" s="8">
        <v>995</v>
      </c>
      <c r="C998" s="8" t="s">
        <v>1273</v>
      </c>
      <c r="D998" s="8" t="s">
        <v>1275</v>
      </c>
      <c r="E998" s="39">
        <v>290000</v>
      </c>
      <c r="F998" s="40" t="s">
        <v>1096</v>
      </c>
    </row>
    <row r="999" spans="2:6" hidden="1">
      <c r="B999" s="8">
        <v>996</v>
      </c>
      <c r="C999" s="8" t="s">
        <v>1273</v>
      </c>
      <c r="D999" s="8" t="s">
        <v>211</v>
      </c>
      <c r="E999" s="39">
        <v>232000</v>
      </c>
      <c r="F999" s="40" t="s">
        <v>1096</v>
      </c>
    </row>
    <row r="1000" spans="2:6" hidden="1">
      <c r="B1000" s="8">
        <v>997</v>
      </c>
      <c r="C1000" s="8" t="s">
        <v>591</v>
      </c>
      <c r="D1000" s="8" t="s">
        <v>644</v>
      </c>
      <c r="E1000" s="39">
        <v>106000</v>
      </c>
      <c r="F1000" s="40" t="s">
        <v>1096</v>
      </c>
    </row>
    <row r="1001" spans="2:6" hidden="1">
      <c r="B1001" s="8">
        <v>998</v>
      </c>
      <c r="C1001" s="8" t="s">
        <v>593</v>
      </c>
      <c r="D1001" s="8" t="s">
        <v>381</v>
      </c>
      <c r="E1001" s="39">
        <v>367000</v>
      </c>
      <c r="F1001" s="40" t="s">
        <v>1096</v>
      </c>
    </row>
    <row r="1002" spans="2:6" hidden="1">
      <c r="B1002" s="8">
        <v>999</v>
      </c>
      <c r="C1002" s="8" t="s">
        <v>593</v>
      </c>
      <c r="D1002" s="8" t="s">
        <v>317</v>
      </c>
      <c r="E1002" s="39">
        <v>236000</v>
      </c>
      <c r="F1002" s="40" t="s">
        <v>1096</v>
      </c>
    </row>
    <row r="1003" spans="2:6" hidden="1">
      <c r="B1003" s="8">
        <v>1000</v>
      </c>
      <c r="C1003" s="8" t="s">
        <v>1276</v>
      </c>
      <c r="D1003" s="8" t="s">
        <v>217</v>
      </c>
      <c r="E1003" s="39">
        <v>1801000</v>
      </c>
      <c r="F1003" s="40" t="s">
        <v>1096</v>
      </c>
    </row>
    <row r="1004" spans="2:6" hidden="1">
      <c r="B1004" s="8">
        <v>1001</v>
      </c>
      <c r="C1004" s="8" t="s">
        <v>599</v>
      </c>
      <c r="D1004" s="8" t="s">
        <v>447</v>
      </c>
      <c r="E1004" s="39">
        <v>75000</v>
      </c>
      <c r="F1004" s="40" t="s">
        <v>1096</v>
      </c>
    </row>
    <row r="1005" spans="2:6" hidden="1">
      <c r="B1005" s="8">
        <v>1002</v>
      </c>
      <c r="C1005" s="8" t="s">
        <v>1277</v>
      </c>
      <c r="D1005" s="8" t="s">
        <v>1278</v>
      </c>
      <c r="E1005" s="39">
        <v>232000</v>
      </c>
      <c r="F1005" s="40" t="s">
        <v>1096</v>
      </c>
    </row>
    <row r="1006" spans="2:6" hidden="1">
      <c r="B1006" s="8">
        <v>1003</v>
      </c>
      <c r="C1006" s="8" t="s">
        <v>601</v>
      </c>
      <c r="D1006" s="8" t="s">
        <v>1279</v>
      </c>
      <c r="E1006" s="39">
        <v>208000</v>
      </c>
      <c r="F1006" s="40" t="s">
        <v>1096</v>
      </c>
    </row>
    <row r="1007" spans="2:6" hidden="1">
      <c r="B1007" s="8">
        <v>1004</v>
      </c>
      <c r="C1007" s="8" t="s">
        <v>602</v>
      </c>
      <c r="D1007" s="8" t="s">
        <v>1231</v>
      </c>
      <c r="E1007" s="39">
        <v>120000</v>
      </c>
      <c r="F1007" s="40" t="s">
        <v>1096</v>
      </c>
    </row>
    <row r="1008" spans="2:6" hidden="1">
      <c r="B1008" s="8">
        <v>1005</v>
      </c>
      <c r="C1008" s="8" t="s">
        <v>602</v>
      </c>
      <c r="D1008" s="8" t="s">
        <v>198</v>
      </c>
      <c r="E1008" s="39">
        <v>1424000</v>
      </c>
      <c r="F1008" s="40" t="s">
        <v>1096</v>
      </c>
    </row>
    <row r="1009" spans="2:6" hidden="1">
      <c r="B1009" s="8">
        <v>1006</v>
      </c>
      <c r="C1009" s="8" t="s">
        <v>604</v>
      </c>
      <c r="D1009" s="8" t="s">
        <v>1280</v>
      </c>
      <c r="E1009" s="39">
        <v>165000</v>
      </c>
      <c r="F1009" s="40" t="s">
        <v>1096</v>
      </c>
    </row>
    <row r="1010" spans="2:6" hidden="1">
      <c r="B1010" s="8">
        <v>1007</v>
      </c>
      <c r="C1010" s="8" t="s">
        <v>1281</v>
      </c>
      <c r="D1010" s="8" t="s">
        <v>211</v>
      </c>
      <c r="E1010" s="39">
        <v>119000</v>
      </c>
      <c r="F1010" s="40" t="s">
        <v>1096</v>
      </c>
    </row>
    <row r="1011" spans="2:6" hidden="1">
      <c r="B1011" s="8">
        <v>1008</v>
      </c>
      <c r="C1011" s="8" t="s">
        <v>1282</v>
      </c>
      <c r="D1011" s="8" t="s">
        <v>211</v>
      </c>
      <c r="E1011" s="39">
        <v>53000</v>
      </c>
      <c r="F1011" s="40" t="s">
        <v>1096</v>
      </c>
    </row>
    <row r="1012" spans="2:6" hidden="1">
      <c r="B1012" s="8">
        <v>1009</v>
      </c>
      <c r="C1012" s="8" t="s">
        <v>1282</v>
      </c>
      <c r="D1012" s="8" t="s">
        <v>1283</v>
      </c>
      <c r="E1012" s="39">
        <v>409000</v>
      </c>
      <c r="F1012" s="40" t="s">
        <v>1096</v>
      </c>
    </row>
    <row r="1013" spans="2:6" hidden="1">
      <c r="B1013" s="8">
        <v>1010</v>
      </c>
      <c r="C1013" s="8" t="s">
        <v>615</v>
      </c>
      <c r="D1013" s="8" t="s">
        <v>838</v>
      </c>
      <c r="E1013" s="39">
        <v>176000</v>
      </c>
      <c r="F1013" s="40" t="s">
        <v>1096</v>
      </c>
    </row>
    <row r="1014" spans="2:6" hidden="1">
      <c r="B1014" s="8">
        <v>1011</v>
      </c>
      <c r="C1014" s="8" t="s">
        <v>618</v>
      </c>
      <c r="D1014" s="8" t="s">
        <v>1284</v>
      </c>
      <c r="E1014" s="39">
        <v>84000</v>
      </c>
      <c r="F1014" s="40" t="s">
        <v>1096</v>
      </c>
    </row>
    <row r="1015" spans="2:6" hidden="1">
      <c r="B1015" s="8">
        <v>1012</v>
      </c>
      <c r="C1015" s="8" t="s">
        <v>618</v>
      </c>
      <c r="D1015" s="8" t="s">
        <v>1285</v>
      </c>
      <c r="E1015" s="39">
        <v>175000</v>
      </c>
      <c r="F1015" s="40" t="s">
        <v>1096</v>
      </c>
    </row>
    <row r="1016" spans="2:6" hidden="1">
      <c r="B1016" s="8">
        <v>1013</v>
      </c>
      <c r="C1016" s="8" t="s">
        <v>619</v>
      </c>
      <c r="D1016" s="8" t="s">
        <v>1286</v>
      </c>
      <c r="E1016" s="39">
        <v>77000</v>
      </c>
      <c r="F1016" s="40" t="s">
        <v>1096</v>
      </c>
    </row>
    <row r="1017" spans="2:6" hidden="1">
      <c r="B1017" s="8">
        <v>1014</v>
      </c>
      <c r="C1017" s="8" t="s">
        <v>619</v>
      </c>
      <c r="D1017" s="8" t="s">
        <v>199</v>
      </c>
      <c r="E1017" s="39">
        <v>497000</v>
      </c>
      <c r="F1017" s="40" t="s">
        <v>1096</v>
      </c>
    </row>
    <row r="1018" spans="2:6" hidden="1">
      <c r="B1018" s="8">
        <v>1015</v>
      </c>
      <c r="C1018" s="8" t="s">
        <v>619</v>
      </c>
      <c r="D1018" s="8" t="s">
        <v>1287</v>
      </c>
      <c r="E1018" s="39">
        <v>1236000</v>
      </c>
      <c r="F1018" s="40" t="s">
        <v>1096</v>
      </c>
    </row>
    <row r="1019" spans="2:6" hidden="1">
      <c r="B1019" s="8">
        <v>1016</v>
      </c>
      <c r="C1019" s="8" t="s">
        <v>619</v>
      </c>
      <c r="D1019" s="8" t="s">
        <v>319</v>
      </c>
      <c r="E1019" s="39">
        <v>180000</v>
      </c>
      <c r="F1019" s="40" t="s">
        <v>1096</v>
      </c>
    </row>
    <row r="1020" spans="2:6" hidden="1">
      <c r="B1020" s="8">
        <v>1017</v>
      </c>
      <c r="C1020" s="8" t="s">
        <v>619</v>
      </c>
      <c r="D1020" s="8" t="s">
        <v>1288</v>
      </c>
      <c r="E1020" s="39">
        <v>112000</v>
      </c>
      <c r="F1020" s="40" t="s">
        <v>1096</v>
      </c>
    </row>
    <row r="1021" spans="2:6" hidden="1">
      <c r="B1021" s="8">
        <v>1018</v>
      </c>
      <c r="C1021" s="8" t="s">
        <v>1289</v>
      </c>
      <c r="D1021" s="8" t="s">
        <v>317</v>
      </c>
      <c r="E1021" s="39">
        <v>305000</v>
      </c>
      <c r="F1021" s="40" t="s">
        <v>1096</v>
      </c>
    </row>
    <row r="1022" spans="2:6" hidden="1">
      <c r="B1022" s="8">
        <v>1019</v>
      </c>
      <c r="C1022" s="8" t="s">
        <v>625</v>
      </c>
      <c r="D1022" s="8" t="s">
        <v>567</v>
      </c>
      <c r="E1022" s="39">
        <v>123000</v>
      </c>
      <c r="F1022" s="40" t="s">
        <v>1096</v>
      </c>
    </row>
    <row r="1023" spans="2:6" hidden="1">
      <c r="B1023" s="8">
        <v>1020</v>
      </c>
      <c r="C1023" s="8" t="s">
        <v>628</v>
      </c>
      <c r="D1023" s="8" t="s">
        <v>507</v>
      </c>
      <c r="E1023" s="39">
        <v>290000</v>
      </c>
      <c r="F1023" s="40" t="s">
        <v>1096</v>
      </c>
    </row>
    <row r="1024" spans="2:6" hidden="1">
      <c r="B1024" s="8">
        <v>1021</v>
      </c>
      <c r="C1024" s="8" t="s">
        <v>631</v>
      </c>
      <c r="D1024" s="8" t="s">
        <v>1290</v>
      </c>
      <c r="E1024" s="39">
        <v>190000</v>
      </c>
      <c r="F1024" s="40" t="s">
        <v>1096</v>
      </c>
    </row>
    <row r="1025" spans="2:6" hidden="1">
      <c r="B1025" s="8">
        <v>1022</v>
      </c>
      <c r="C1025" s="8" t="s">
        <v>639</v>
      </c>
      <c r="D1025" s="8" t="s">
        <v>1291</v>
      </c>
      <c r="E1025" s="39">
        <v>208000</v>
      </c>
      <c r="F1025" s="40" t="s">
        <v>1096</v>
      </c>
    </row>
    <row r="1026" spans="2:6" hidden="1">
      <c r="B1026" s="8">
        <v>1023</v>
      </c>
      <c r="C1026" s="8" t="s">
        <v>639</v>
      </c>
      <c r="D1026" s="8" t="s">
        <v>1292</v>
      </c>
      <c r="E1026" s="39">
        <v>409000</v>
      </c>
      <c r="F1026" s="40" t="s">
        <v>1096</v>
      </c>
    </row>
    <row r="1027" spans="2:6" hidden="1">
      <c r="B1027" s="8">
        <v>1024</v>
      </c>
      <c r="C1027" s="8" t="s">
        <v>639</v>
      </c>
      <c r="D1027" s="8" t="s">
        <v>1293</v>
      </c>
      <c r="E1027" s="39">
        <v>442000</v>
      </c>
      <c r="F1027" s="40" t="s">
        <v>1096</v>
      </c>
    </row>
    <row r="1028" spans="2:6" hidden="1">
      <c r="B1028" s="8">
        <v>1025</v>
      </c>
      <c r="C1028" s="8" t="s">
        <v>639</v>
      </c>
      <c r="D1028" s="8" t="s">
        <v>1294</v>
      </c>
      <c r="E1028" s="39">
        <v>478000</v>
      </c>
      <c r="F1028" s="40" t="s">
        <v>1096</v>
      </c>
    </row>
    <row r="1029" spans="2:6" hidden="1">
      <c r="B1029" s="8">
        <v>1026</v>
      </c>
      <c r="C1029" s="8" t="s">
        <v>642</v>
      </c>
      <c r="D1029" s="8" t="s">
        <v>217</v>
      </c>
      <c r="E1029" s="39">
        <v>2095000</v>
      </c>
      <c r="F1029" s="40" t="s">
        <v>1096</v>
      </c>
    </row>
    <row r="1030" spans="2:6" hidden="1">
      <c r="B1030" s="8">
        <v>1027</v>
      </c>
      <c r="C1030" s="8" t="s">
        <v>642</v>
      </c>
      <c r="D1030" s="8" t="s">
        <v>1295</v>
      </c>
      <c r="E1030" s="39">
        <v>193000</v>
      </c>
      <c r="F1030" s="40" t="s">
        <v>1096</v>
      </c>
    </row>
    <row r="1031" spans="2:6" hidden="1">
      <c r="B1031" s="8">
        <v>1028</v>
      </c>
      <c r="C1031" s="8" t="s">
        <v>642</v>
      </c>
      <c r="D1031" s="8" t="s">
        <v>1296</v>
      </c>
      <c r="E1031" s="39">
        <v>83000</v>
      </c>
      <c r="F1031" s="40" t="s">
        <v>1096</v>
      </c>
    </row>
    <row r="1032" spans="2:6" hidden="1">
      <c r="B1032" s="8">
        <v>1029</v>
      </c>
      <c r="C1032" s="8" t="s">
        <v>646</v>
      </c>
      <c r="D1032" s="8" t="s">
        <v>1297</v>
      </c>
      <c r="E1032" s="39">
        <v>124000</v>
      </c>
      <c r="F1032" s="40" t="s">
        <v>1096</v>
      </c>
    </row>
    <row r="1033" spans="2:6" hidden="1">
      <c r="B1033" s="8">
        <v>1030</v>
      </c>
      <c r="C1033" s="8" t="s">
        <v>646</v>
      </c>
      <c r="D1033" s="8" t="s">
        <v>1298</v>
      </c>
      <c r="E1033" s="39">
        <v>308000</v>
      </c>
      <c r="F1033" s="40" t="s">
        <v>1096</v>
      </c>
    </row>
    <row r="1034" spans="2:6" hidden="1">
      <c r="B1034" s="8">
        <v>1031</v>
      </c>
      <c r="C1034" s="8" t="s">
        <v>650</v>
      </c>
      <c r="D1034" s="8" t="s">
        <v>1299</v>
      </c>
      <c r="E1034" s="39">
        <v>463000</v>
      </c>
      <c r="F1034" s="40" t="s">
        <v>1096</v>
      </c>
    </row>
    <row r="1035" spans="2:6" hidden="1">
      <c r="B1035" s="8">
        <v>1032</v>
      </c>
      <c r="C1035" s="8" t="s">
        <v>650</v>
      </c>
      <c r="D1035" s="8" t="s">
        <v>1300</v>
      </c>
      <c r="E1035" s="39">
        <v>169000</v>
      </c>
      <c r="F1035" s="40" t="s">
        <v>1096</v>
      </c>
    </row>
    <row r="1036" spans="2:6" hidden="1">
      <c r="B1036" s="8">
        <v>1033</v>
      </c>
      <c r="C1036" s="8" t="s">
        <v>650</v>
      </c>
      <c r="D1036" s="8" t="s">
        <v>1231</v>
      </c>
      <c r="E1036" s="39">
        <v>120000</v>
      </c>
      <c r="F1036" s="40" t="s">
        <v>1096</v>
      </c>
    </row>
    <row r="1037" spans="2:6" hidden="1">
      <c r="B1037" s="8">
        <v>1034</v>
      </c>
      <c r="C1037" s="8" t="s">
        <v>650</v>
      </c>
      <c r="D1037" s="8" t="s">
        <v>1301</v>
      </c>
      <c r="E1037" s="39">
        <v>288000</v>
      </c>
      <c r="F1037" s="40" t="s">
        <v>1096</v>
      </c>
    </row>
    <row r="1038" spans="2:6" hidden="1">
      <c r="B1038" s="8">
        <v>1035</v>
      </c>
      <c r="C1038" s="8" t="s">
        <v>654</v>
      </c>
      <c r="D1038" s="8" t="s">
        <v>1302</v>
      </c>
      <c r="E1038" s="39">
        <v>135000</v>
      </c>
      <c r="F1038" s="40" t="s">
        <v>1096</v>
      </c>
    </row>
    <row r="1039" spans="2:6" hidden="1">
      <c r="B1039" s="8">
        <v>1036</v>
      </c>
      <c r="C1039" s="8" t="s">
        <v>654</v>
      </c>
      <c r="D1039" s="8" t="s">
        <v>1303</v>
      </c>
      <c r="E1039" s="39">
        <v>279000</v>
      </c>
      <c r="F1039" s="40" t="s">
        <v>1096</v>
      </c>
    </row>
    <row r="1040" spans="2:6" hidden="1">
      <c r="B1040" s="8">
        <v>1037</v>
      </c>
      <c r="C1040" s="8" t="s">
        <v>656</v>
      </c>
      <c r="D1040" s="8" t="s">
        <v>398</v>
      </c>
      <c r="E1040" s="39">
        <v>163000</v>
      </c>
      <c r="F1040" s="40" t="s">
        <v>1096</v>
      </c>
    </row>
    <row r="1041" spans="2:6" hidden="1">
      <c r="B1041" s="8">
        <v>1038</v>
      </c>
      <c r="C1041" s="8" t="s">
        <v>656</v>
      </c>
      <c r="D1041" s="8" t="s">
        <v>1304</v>
      </c>
      <c r="E1041" s="39">
        <v>1466000</v>
      </c>
      <c r="F1041" s="40" t="s">
        <v>1096</v>
      </c>
    </row>
    <row r="1042" spans="2:6" hidden="1">
      <c r="B1042" s="8">
        <v>1039</v>
      </c>
      <c r="C1042" s="8" t="s">
        <v>656</v>
      </c>
      <c r="D1042" s="8" t="s">
        <v>640</v>
      </c>
      <c r="E1042" s="39">
        <v>1081000</v>
      </c>
      <c r="F1042" s="40" t="s">
        <v>1096</v>
      </c>
    </row>
    <row r="1043" spans="2:6" hidden="1">
      <c r="B1043" s="8">
        <v>1040</v>
      </c>
      <c r="C1043" s="8" t="s">
        <v>657</v>
      </c>
      <c r="D1043" s="8" t="s">
        <v>1305</v>
      </c>
      <c r="E1043" s="39">
        <v>374000</v>
      </c>
      <c r="F1043" s="40" t="s">
        <v>1096</v>
      </c>
    </row>
    <row r="1044" spans="2:6" hidden="1">
      <c r="B1044" s="8">
        <v>1041</v>
      </c>
      <c r="C1044" s="8" t="s">
        <v>1306</v>
      </c>
      <c r="D1044" s="8" t="s">
        <v>1307</v>
      </c>
      <c r="E1044" s="39">
        <v>2310000</v>
      </c>
      <c r="F1044" s="40" t="s">
        <v>1096</v>
      </c>
    </row>
    <row r="1045" spans="2:6" hidden="1">
      <c r="B1045" s="8">
        <v>1042</v>
      </c>
      <c r="C1045" s="8" t="s">
        <v>660</v>
      </c>
      <c r="D1045" s="8" t="s">
        <v>1307</v>
      </c>
      <c r="E1045" s="39">
        <v>3287000</v>
      </c>
      <c r="F1045" s="40" t="s">
        <v>1096</v>
      </c>
    </row>
    <row r="1046" spans="2:6" hidden="1">
      <c r="B1046" s="8">
        <v>1043</v>
      </c>
      <c r="C1046" s="8" t="s">
        <v>1308</v>
      </c>
      <c r="D1046" s="8" t="s">
        <v>398</v>
      </c>
      <c r="E1046" s="39">
        <v>99000</v>
      </c>
      <c r="F1046" s="40" t="s">
        <v>1096</v>
      </c>
    </row>
    <row r="1047" spans="2:6" hidden="1">
      <c r="B1047" s="8">
        <v>1044</v>
      </c>
      <c r="C1047" s="8" t="s">
        <v>662</v>
      </c>
      <c r="D1047" s="8" t="s">
        <v>1231</v>
      </c>
      <c r="E1047" s="39">
        <v>120000</v>
      </c>
      <c r="F1047" s="40" t="s">
        <v>1096</v>
      </c>
    </row>
    <row r="1048" spans="2:6" hidden="1">
      <c r="B1048" s="8">
        <v>1045</v>
      </c>
      <c r="C1048" s="8" t="s">
        <v>662</v>
      </c>
      <c r="D1048" s="8" t="s">
        <v>1309</v>
      </c>
      <c r="E1048" s="39">
        <v>93000</v>
      </c>
      <c r="F1048" s="40" t="s">
        <v>1096</v>
      </c>
    </row>
    <row r="1049" spans="2:6" hidden="1">
      <c r="B1049" s="8">
        <v>1046</v>
      </c>
      <c r="C1049" s="8" t="s">
        <v>1310</v>
      </c>
      <c r="D1049" s="8" t="s">
        <v>217</v>
      </c>
      <c r="E1049" s="39">
        <v>1390000</v>
      </c>
      <c r="F1049" s="40" t="s">
        <v>1096</v>
      </c>
    </row>
    <row r="1050" spans="2:6" hidden="1">
      <c r="B1050" s="8">
        <v>1047</v>
      </c>
      <c r="C1050" s="8" t="s">
        <v>1311</v>
      </c>
      <c r="D1050" s="8" t="s">
        <v>1312</v>
      </c>
      <c r="E1050" s="39">
        <v>84000</v>
      </c>
      <c r="F1050" s="40" t="s">
        <v>1096</v>
      </c>
    </row>
    <row r="1051" spans="2:6" hidden="1">
      <c r="B1051" s="8">
        <v>1048</v>
      </c>
      <c r="C1051" s="8" t="s">
        <v>1311</v>
      </c>
      <c r="D1051" s="8" t="s">
        <v>1313</v>
      </c>
      <c r="E1051" s="39">
        <v>308000</v>
      </c>
      <c r="F1051" s="40" t="s">
        <v>1096</v>
      </c>
    </row>
    <row r="1052" spans="2:6" hidden="1">
      <c r="B1052" s="8">
        <v>1049</v>
      </c>
      <c r="C1052" s="8" t="s">
        <v>667</v>
      </c>
      <c r="D1052" s="8" t="s">
        <v>1314</v>
      </c>
      <c r="E1052" s="39">
        <v>1388000</v>
      </c>
      <c r="F1052" s="40" t="s">
        <v>1096</v>
      </c>
    </row>
    <row r="1053" spans="2:6" hidden="1">
      <c r="B1053" s="8">
        <v>1050</v>
      </c>
      <c r="C1053" s="8" t="s">
        <v>667</v>
      </c>
      <c r="D1053" s="8" t="s">
        <v>769</v>
      </c>
      <c r="E1053" s="39">
        <v>53000</v>
      </c>
      <c r="F1053" s="40" t="s">
        <v>1096</v>
      </c>
    </row>
    <row r="1054" spans="2:6" hidden="1">
      <c r="B1054" s="8">
        <v>1051</v>
      </c>
      <c r="C1054" s="8" t="s">
        <v>667</v>
      </c>
      <c r="D1054" s="8" t="s">
        <v>1315</v>
      </c>
      <c r="E1054" s="39">
        <v>201000</v>
      </c>
      <c r="F1054" s="40" t="s">
        <v>1096</v>
      </c>
    </row>
    <row r="1055" spans="2:6" hidden="1">
      <c r="B1055" s="8">
        <v>1052</v>
      </c>
      <c r="C1055" s="8" t="s">
        <v>667</v>
      </c>
      <c r="D1055" s="8" t="s">
        <v>211</v>
      </c>
      <c r="E1055" s="39">
        <v>232000</v>
      </c>
      <c r="F1055" s="40" t="s">
        <v>1096</v>
      </c>
    </row>
    <row r="1056" spans="2:6" hidden="1">
      <c r="B1056" s="8">
        <v>1053</v>
      </c>
      <c r="C1056" s="8" t="s">
        <v>671</v>
      </c>
      <c r="D1056" s="8" t="s">
        <v>1316</v>
      </c>
      <c r="E1056" s="39">
        <v>154000</v>
      </c>
      <c r="F1056" s="40" t="s">
        <v>1096</v>
      </c>
    </row>
    <row r="1057" spans="2:6" hidden="1">
      <c r="B1057" s="8">
        <v>1054</v>
      </c>
      <c r="C1057" s="8" t="s">
        <v>671</v>
      </c>
      <c r="D1057" s="8" t="s">
        <v>699</v>
      </c>
      <c r="E1057" s="39">
        <v>53000</v>
      </c>
      <c r="F1057" s="40" t="s">
        <v>1096</v>
      </c>
    </row>
    <row r="1058" spans="2:6" hidden="1">
      <c r="B1058" s="8">
        <v>1055</v>
      </c>
      <c r="C1058" s="8" t="s">
        <v>673</v>
      </c>
      <c r="D1058" s="8" t="s">
        <v>1231</v>
      </c>
      <c r="E1058" s="39">
        <v>120000</v>
      </c>
      <c r="F1058" s="40" t="s">
        <v>1096</v>
      </c>
    </row>
    <row r="1059" spans="2:6" hidden="1">
      <c r="B1059" s="8">
        <v>1056</v>
      </c>
      <c r="C1059" s="8" t="s">
        <v>675</v>
      </c>
      <c r="D1059" s="8" t="s">
        <v>1264</v>
      </c>
      <c r="E1059" s="39">
        <v>224000</v>
      </c>
      <c r="F1059" s="40" t="s">
        <v>1096</v>
      </c>
    </row>
    <row r="1060" spans="2:6" hidden="1">
      <c r="B1060" s="8">
        <v>1057</v>
      </c>
      <c r="C1060" s="8" t="s">
        <v>676</v>
      </c>
      <c r="D1060" s="8" t="s">
        <v>1317</v>
      </c>
      <c r="E1060" s="39">
        <v>2053000</v>
      </c>
      <c r="F1060" s="40" t="s">
        <v>1096</v>
      </c>
    </row>
    <row r="1061" spans="2:6" hidden="1">
      <c r="B1061" s="8">
        <v>1058</v>
      </c>
      <c r="C1061" s="8" t="s">
        <v>677</v>
      </c>
      <c r="D1061" s="8" t="s">
        <v>198</v>
      </c>
      <c r="E1061" s="39">
        <v>455000</v>
      </c>
      <c r="F1061" s="40" t="s">
        <v>1096</v>
      </c>
    </row>
    <row r="1062" spans="2:6" hidden="1">
      <c r="B1062" s="8">
        <v>1059</v>
      </c>
      <c r="C1062" s="8" t="s">
        <v>1318</v>
      </c>
      <c r="D1062" s="8" t="s">
        <v>1319</v>
      </c>
      <c r="E1062" s="39">
        <v>284000</v>
      </c>
      <c r="F1062" s="40" t="s">
        <v>1096</v>
      </c>
    </row>
    <row r="1063" spans="2:6" hidden="1">
      <c r="B1063" s="8">
        <v>1060</v>
      </c>
      <c r="C1063" s="8" t="s">
        <v>1320</v>
      </c>
      <c r="D1063" s="8" t="s">
        <v>1321</v>
      </c>
      <c r="E1063" s="39">
        <v>90000</v>
      </c>
      <c r="F1063" s="40" t="s">
        <v>1096</v>
      </c>
    </row>
    <row r="1064" spans="2:6" hidden="1">
      <c r="B1064" s="8">
        <v>1061</v>
      </c>
      <c r="C1064" s="8" t="s">
        <v>1320</v>
      </c>
      <c r="D1064" s="8" t="s">
        <v>1322</v>
      </c>
      <c r="E1064" s="39">
        <v>360000</v>
      </c>
      <c r="F1064" s="40" t="s">
        <v>1096</v>
      </c>
    </row>
    <row r="1065" spans="2:6" hidden="1">
      <c r="B1065" s="8">
        <v>1062</v>
      </c>
      <c r="C1065" s="8" t="s">
        <v>678</v>
      </c>
      <c r="D1065" s="8" t="s">
        <v>1226</v>
      </c>
      <c r="E1065" s="39">
        <v>109000</v>
      </c>
      <c r="F1065" s="40" t="s">
        <v>1096</v>
      </c>
    </row>
    <row r="1066" spans="2:6" hidden="1">
      <c r="B1066" s="8">
        <v>1063</v>
      </c>
      <c r="C1066" s="8" t="s">
        <v>1323</v>
      </c>
      <c r="D1066" s="8" t="s">
        <v>1324</v>
      </c>
      <c r="E1066" s="39">
        <v>346000</v>
      </c>
      <c r="F1066" s="40" t="s">
        <v>1096</v>
      </c>
    </row>
    <row r="1067" spans="2:6" hidden="1">
      <c r="B1067" s="8">
        <v>1064</v>
      </c>
      <c r="C1067" s="8" t="s">
        <v>1323</v>
      </c>
      <c r="D1067" s="8" t="s">
        <v>1325</v>
      </c>
      <c r="E1067" s="39">
        <v>575000</v>
      </c>
      <c r="F1067" s="40" t="s">
        <v>1096</v>
      </c>
    </row>
    <row r="1068" spans="2:6" hidden="1">
      <c r="B1068" s="8">
        <v>1065</v>
      </c>
      <c r="C1068" s="8" t="s">
        <v>1323</v>
      </c>
      <c r="D1068" s="8" t="s">
        <v>659</v>
      </c>
      <c r="E1068" s="39">
        <v>150000</v>
      </c>
      <c r="F1068" s="40" t="s">
        <v>1096</v>
      </c>
    </row>
    <row r="1069" spans="2:6" hidden="1">
      <c r="B1069" s="8">
        <v>1066</v>
      </c>
      <c r="C1069" s="8" t="s">
        <v>1323</v>
      </c>
      <c r="D1069" s="8" t="s">
        <v>1326</v>
      </c>
      <c r="E1069" s="39">
        <v>123000</v>
      </c>
      <c r="F1069" s="40" t="s">
        <v>1096</v>
      </c>
    </row>
    <row r="1070" spans="2:6" hidden="1">
      <c r="B1070" s="8">
        <v>1067</v>
      </c>
      <c r="C1070" s="8" t="s">
        <v>682</v>
      </c>
      <c r="D1070" s="8" t="s">
        <v>932</v>
      </c>
      <c r="E1070" s="39">
        <v>206000</v>
      </c>
      <c r="F1070" s="40" t="s">
        <v>1096</v>
      </c>
    </row>
    <row r="1071" spans="2:6" hidden="1">
      <c r="B1071" s="8">
        <v>1068</v>
      </c>
      <c r="C1071" s="8" t="s">
        <v>682</v>
      </c>
      <c r="D1071" s="8" t="s">
        <v>1327</v>
      </c>
      <c r="E1071" s="39">
        <v>243000</v>
      </c>
      <c r="F1071" s="40" t="s">
        <v>1096</v>
      </c>
    </row>
    <row r="1072" spans="2:6" hidden="1">
      <c r="B1072" s="8">
        <v>1069</v>
      </c>
      <c r="C1072" s="8" t="s">
        <v>683</v>
      </c>
      <c r="D1072" s="8" t="s">
        <v>1328</v>
      </c>
      <c r="E1072" s="39">
        <v>390000</v>
      </c>
      <c r="F1072" s="40" t="s">
        <v>1096</v>
      </c>
    </row>
    <row r="1073" spans="2:6" hidden="1">
      <c r="B1073" s="8">
        <v>1070</v>
      </c>
      <c r="C1073" s="8" t="s">
        <v>685</v>
      </c>
      <c r="D1073" s="8" t="s">
        <v>1329</v>
      </c>
      <c r="E1073" s="39">
        <v>498000</v>
      </c>
      <c r="F1073" s="40" t="s">
        <v>1096</v>
      </c>
    </row>
    <row r="1074" spans="2:6" hidden="1">
      <c r="B1074" s="8">
        <v>1071</v>
      </c>
      <c r="C1074" s="8" t="s">
        <v>687</v>
      </c>
      <c r="D1074" s="8" t="s">
        <v>1330</v>
      </c>
      <c r="E1074" s="39">
        <v>494000</v>
      </c>
      <c r="F1074" s="40" t="s">
        <v>1096</v>
      </c>
    </row>
    <row r="1075" spans="2:6" hidden="1">
      <c r="B1075" s="8">
        <v>1072</v>
      </c>
      <c r="C1075" s="8" t="s">
        <v>687</v>
      </c>
      <c r="D1075" s="8" t="s">
        <v>1331</v>
      </c>
      <c r="E1075" s="39">
        <v>107000</v>
      </c>
      <c r="F1075" s="40" t="s">
        <v>1096</v>
      </c>
    </row>
    <row r="1076" spans="2:6" hidden="1">
      <c r="B1076" s="8">
        <v>1073</v>
      </c>
      <c r="C1076" s="8" t="s">
        <v>1332</v>
      </c>
      <c r="D1076" s="8" t="s">
        <v>1333</v>
      </c>
      <c r="E1076" s="39">
        <v>196000</v>
      </c>
      <c r="F1076" s="40" t="s">
        <v>1096</v>
      </c>
    </row>
    <row r="1077" spans="2:6" hidden="1">
      <c r="B1077" s="8">
        <v>1074</v>
      </c>
      <c r="C1077" s="8" t="s">
        <v>694</v>
      </c>
      <c r="D1077" s="8" t="s">
        <v>198</v>
      </c>
      <c r="E1077" s="39">
        <v>284000</v>
      </c>
      <c r="F1077" s="40" t="s">
        <v>1096</v>
      </c>
    </row>
    <row r="1078" spans="2:6" hidden="1">
      <c r="B1078" s="8">
        <v>1075</v>
      </c>
      <c r="C1078" s="8" t="s">
        <v>1334</v>
      </c>
      <c r="D1078" s="8" t="s">
        <v>1335</v>
      </c>
      <c r="E1078" s="39">
        <v>315000</v>
      </c>
      <c r="F1078" s="40" t="s">
        <v>1096</v>
      </c>
    </row>
    <row r="1079" spans="2:6" hidden="1">
      <c r="B1079" s="8">
        <v>1076</v>
      </c>
      <c r="C1079" s="8" t="s">
        <v>1336</v>
      </c>
      <c r="D1079" s="8" t="s">
        <v>534</v>
      </c>
      <c r="E1079" s="39">
        <v>683000</v>
      </c>
      <c r="F1079" s="40" t="s">
        <v>1096</v>
      </c>
    </row>
    <row r="1080" spans="2:6" hidden="1">
      <c r="B1080" s="8">
        <v>1077</v>
      </c>
      <c r="C1080" s="8" t="s">
        <v>1336</v>
      </c>
      <c r="D1080" s="8" t="s">
        <v>1337</v>
      </c>
      <c r="E1080" s="39">
        <v>408000</v>
      </c>
      <c r="F1080" s="40" t="s">
        <v>1096</v>
      </c>
    </row>
    <row r="1081" spans="2:6" hidden="1">
      <c r="B1081" s="8">
        <v>1078</v>
      </c>
      <c r="C1081" s="8" t="s">
        <v>698</v>
      </c>
      <c r="D1081" s="8" t="s">
        <v>1338</v>
      </c>
      <c r="E1081" s="39">
        <v>597000</v>
      </c>
      <c r="F1081" s="40" t="s">
        <v>1096</v>
      </c>
    </row>
    <row r="1082" spans="2:6" hidden="1">
      <c r="B1082" s="8">
        <v>1079</v>
      </c>
      <c r="C1082" s="8" t="s">
        <v>698</v>
      </c>
      <c r="D1082" s="8" t="s">
        <v>1339</v>
      </c>
      <c r="E1082" s="39">
        <v>185000</v>
      </c>
      <c r="F1082" s="40" t="s">
        <v>1096</v>
      </c>
    </row>
    <row r="1083" spans="2:6" hidden="1">
      <c r="B1083" s="8">
        <v>1080</v>
      </c>
      <c r="C1083" s="8" t="s">
        <v>698</v>
      </c>
      <c r="D1083" s="8" t="s">
        <v>1340</v>
      </c>
      <c r="E1083" s="39">
        <v>123000</v>
      </c>
      <c r="F1083" s="40" t="s">
        <v>1096</v>
      </c>
    </row>
    <row r="1084" spans="2:6" hidden="1">
      <c r="B1084" s="8">
        <v>1081</v>
      </c>
      <c r="C1084" s="8" t="s">
        <v>698</v>
      </c>
      <c r="D1084" s="8" t="s">
        <v>1341</v>
      </c>
      <c r="E1084" s="39">
        <v>55000</v>
      </c>
      <c r="F1084" s="40" t="s">
        <v>1096</v>
      </c>
    </row>
    <row r="1085" spans="2:6" hidden="1">
      <c r="B1085" s="8">
        <v>1082</v>
      </c>
      <c r="C1085" s="8" t="s">
        <v>698</v>
      </c>
      <c r="D1085" s="8" t="s">
        <v>1342</v>
      </c>
      <c r="E1085" s="39">
        <v>154000</v>
      </c>
      <c r="F1085" s="40" t="s">
        <v>1096</v>
      </c>
    </row>
    <row r="1086" spans="2:6" hidden="1">
      <c r="B1086" s="8">
        <v>1083</v>
      </c>
      <c r="C1086" s="8" t="s">
        <v>701</v>
      </c>
      <c r="D1086" s="8" t="s">
        <v>1343</v>
      </c>
      <c r="E1086" s="39">
        <v>116000</v>
      </c>
      <c r="F1086" s="40" t="s">
        <v>1096</v>
      </c>
    </row>
    <row r="1087" spans="2:6" hidden="1">
      <c r="B1087" s="8">
        <v>1084</v>
      </c>
      <c r="C1087" s="8" t="s">
        <v>701</v>
      </c>
      <c r="D1087" s="8" t="s">
        <v>1056</v>
      </c>
      <c r="E1087" s="39">
        <v>224000</v>
      </c>
      <c r="F1087" s="40" t="s">
        <v>1096</v>
      </c>
    </row>
    <row r="1088" spans="2:6" hidden="1">
      <c r="B1088" s="8">
        <v>1085</v>
      </c>
      <c r="C1088" s="8" t="s">
        <v>702</v>
      </c>
      <c r="D1088" s="8" t="s">
        <v>681</v>
      </c>
      <c r="E1088" s="39">
        <v>235000</v>
      </c>
      <c r="F1088" s="40" t="s">
        <v>1096</v>
      </c>
    </row>
    <row r="1089" spans="2:6" hidden="1">
      <c r="B1089" s="8">
        <v>1086</v>
      </c>
      <c r="C1089" s="8" t="s">
        <v>1344</v>
      </c>
      <c r="D1089" s="8" t="s">
        <v>1345</v>
      </c>
      <c r="E1089" s="39">
        <v>83000</v>
      </c>
      <c r="F1089" s="40" t="s">
        <v>1096</v>
      </c>
    </row>
    <row r="1090" spans="2:6" hidden="1">
      <c r="B1090" s="8">
        <v>1087</v>
      </c>
      <c r="C1090" s="8" t="s">
        <v>1346</v>
      </c>
      <c r="D1090" s="8" t="s">
        <v>1347</v>
      </c>
      <c r="E1090" s="39">
        <v>94000</v>
      </c>
      <c r="F1090" s="40" t="s">
        <v>1096</v>
      </c>
    </row>
    <row r="1091" spans="2:6" hidden="1">
      <c r="B1091" s="8">
        <v>1088</v>
      </c>
      <c r="C1091" s="8" t="s">
        <v>703</v>
      </c>
      <c r="D1091" s="8" t="s">
        <v>198</v>
      </c>
      <c r="E1091" s="39">
        <v>294000</v>
      </c>
      <c r="F1091" s="40" t="s">
        <v>1096</v>
      </c>
    </row>
    <row r="1092" spans="2:6" hidden="1">
      <c r="B1092" s="8">
        <v>1089</v>
      </c>
      <c r="C1092" s="8" t="s">
        <v>703</v>
      </c>
      <c r="D1092" s="8" t="s">
        <v>211</v>
      </c>
      <c r="E1092" s="39">
        <v>86000</v>
      </c>
      <c r="F1092" s="40" t="s">
        <v>1096</v>
      </c>
    </row>
    <row r="1093" spans="2:6" hidden="1">
      <c r="B1093" s="8">
        <v>1090</v>
      </c>
      <c r="C1093" s="8" t="s">
        <v>1348</v>
      </c>
      <c r="D1093" s="8" t="s">
        <v>1349</v>
      </c>
      <c r="E1093" s="39">
        <v>3466000</v>
      </c>
      <c r="F1093" s="40" t="s">
        <v>1096</v>
      </c>
    </row>
    <row r="1094" spans="2:6" hidden="1">
      <c r="B1094" s="8">
        <v>1091</v>
      </c>
      <c r="C1094" s="8" t="s">
        <v>1348</v>
      </c>
      <c r="D1094" s="8" t="s">
        <v>552</v>
      </c>
      <c r="E1094" s="39">
        <v>99000</v>
      </c>
      <c r="F1094" s="40" t="s">
        <v>1096</v>
      </c>
    </row>
    <row r="1095" spans="2:6" hidden="1">
      <c r="B1095" s="8">
        <v>1092</v>
      </c>
      <c r="C1095" s="8" t="s">
        <v>707</v>
      </c>
      <c r="D1095" s="8" t="s">
        <v>1350</v>
      </c>
      <c r="E1095" s="39">
        <v>373000</v>
      </c>
      <c r="F1095" s="40" t="s">
        <v>1096</v>
      </c>
    </row>
    <row r="1096" spans="2:6" hidden="1">
      <c r="B1096" s="8">
        <v>1093</v>
      </c>
      <c r="C1096" s="8" t="s">
        <v>1351</v>
      </c>
      <c r="D1096" s="8" t="s">
        <v>1352</v>
      </c>
      <c r="E1096" s="39">
        <v>108000</v>
      </c>
      <c r="F1096" s="40" t="s">
        <v>1096</v>
      </c>
    </row>
    <row r="1097" spans="2:6" hidden="1">
      <c r="B1097" s="8">
        <v>1094</v>
      </c>
      <c r="C1097" s="8" t="s">
        <v>1353</v>
      </c>
      <c r="D1097" s="8" t="s">
        <v>198</v>
      </c>
      <c r="E1097" s="39">
        <v>1592000</v>
      </c>
      <c r="F1097" s="40" t="s">
        <v>1096</v>
      </c>
    </row>
    <row r="1098" spans="2:6" hidden="1">
      <c r="B1098" s="8">
        <v>1095</v>
      </c>
      <c r="C1098" s="8" t="s">
        <v>1353</v>
      </c>
      <c r="D1098" s="8" t="s">
        <v>198</v>
      </c>
      <c r="E1098" s="39">
        <v>1592000</v>
      </c>
      <c r="F1098" s="40" t="s">
        <v>1096</v>
      </c>
    </row>
    <row r="1099" spans="2:6" hidden="1">
      <c r="B1099" s="8">
        <v>1096</v>
      </c>
      <c r="C1099" s="8" t="s">
        <v>711</v>
      </c>
      <c r="D1099" s="8" t="s">
        <v>199</v>
      </c>
      <c r="E1099" s="39">
        <v>53000</v>
      </c>
      <c r="F1099" s="40" t="s">
        <v>1096</v>
      </c>
    </row>
    <row r="1100" spans="2:6" hidden="1">
      <c r="B1100" s="8">
        <v>1097</v>
      </c>
      <c r="C1100" s="8" t="s">
        <v>1354</v>
      </c>
      <c r="D1100" s="8" t="s">
        <v>1347</v>
      </c>
      <c r="E1100" s="39">
        <v>62000</v>
      </c>
      <c r="F1100" s="40" t="s">
        <v>1096</v>
      </c>
    </row>
    <row r="1101" spans="2:6" hidden="1">
      <c r="B1101" s="8">
        <v>1098</v>
      </c>
      <c r="C1101" s="8" t="s">
        <v>1355</v>
      </c>
      <c r="D1101" s="8" t="s">
        <v>1356</v>
      </c>
      <c r="E1101" s="39">
        <v>116000</v>
      </c>
      <c r="F1101" s="40" t="s">
        <v>1096</v>
      </c>
    </row>
    <row r="1102" spans="2:6" hidden="1">
      <c r="B1102" s="8">
        <v>1099</v>
      </c>
      <c r="C1102" s="8" t="s">
        <v>718</v>
      </c>
      <c r="D1102" s="8" t="s">
        <v>1357</v>
      </c>
      <c r="E1102" s="39">
        <v>93000</v>
      </c>
      <c r="F1102" s="40" t="s">
        <v>1096</v>
      </c>
    </row>
    <row r="1103" spans="2:6" hidden="1">
      <c r="B1103" s="8">
        <v>1100</v>
      </c>
      <c r="C1103" s="8" t="s">
        <v>1358</v>
      </c>
      <c r="D1103" s="8" t="s">
        <v>500</v>
      </c>
      <c r="E1103" s="39">
        <v>742000</v>
      </c>
      <c r="F1103" s="40" t="s">
        <v>1096</v>
      </c>
    </row>
    <row r="1104" spans="2:6" hidden="1">
      <c r="B1104" s="8">
        <v>1101</v>
      </c>
      <c r="C1104" s="8" t="s">
        <v>1359</v>
      </c>
      <c r="D1104" s="8" t="s">
        <v>1360</v>
      </c>
      <c r="E1104" s="39">
        <v>156000</v>
      </c>
      <c r="F1104" s="40" t="s">
        <v>1096</v>
      </c>
    </row>
    <row r="1105" spans="2:6" hidden="1">
      <c r="B1105" s="8">
        <v>1102</v>
      </c>
      <c r="C1105" s="8" t="s">
        <v>722</v>
      </c>
      <c r="D1105" s="8" t="s">
        <v>356</v>
      </c>
      <c r="E1105" s="39">
        <v>53000</v>
      </c>
      <c r="F1105" s="40" t="s">
        <v>1096</v>
      </c>
    </row>
    <row r="1106" spans="2:6" hidden="1">
      <c r="B1106" s="8">
        <v>1103</v>
      </c>
      <c r="C1106" s="8" t="s">
        <v>724</v>
      </c>
      <c r="D1106" s="8" t="s">
        <v>319</v>
      </c>
      <c r="E1106" s="39">
        <v>166000</v>
      </c>
      <c r="F1106" s="40" t="s">
        <v>1096</v>
      </c>
    </row>
    <row r="1107" spans="2:6" hidden="1">
      <c r="B1107" s="8">
        <v>1104</v>
      </c>
      <c r="C1107" s="8" t="s">
        <v>1361</v>
      </c>
      <c r="D1107" s="8" t="s">
        <v>1362</v>
      </c>
      <c r="E1107" s="39">
        <v>53000</v>
      </c>
      <c r="F1107" s="40" t="s">
        <v>1096</v>
      </c>
    </row>
    <row r="1108" spans="2:6" hidden="1">
      <c r="B1108" s="8">
        <v>1105</v>
      </c>
      <c r="C1108" s="8" t="s">
        <v>1361</v>
      </c>
      <c r="D1108" s="8" t="s">
        <v>1363</v>
      </c>
      <c r="E1108" s="39">
        <v>120000</v>
      </c>
      <c r="F1108" s="40" t="s">
        <v>1096</v>
      </c>
    </row>
    <row r="1109" spans="2:6" hidden="1">
      <c r="B1109" s="8">
        <v>1106</v>
      </c>
      <c r="C1109" s="8" t="s">
        <v>1361</v>
      </c>
      <c r="D1109" s="8" t="s">
        <v>198</v>
      </c>
      <c r="E1109" s="39">
        <v>466000</v>
      </c>
      <c r="F1109" s="40" t="s">
        <v>1096</v>
      </c>
    </row>
    <row r="1110" spans="2:6" hidden="1">
      <c r="B1110" s="8">
        <v>1107</v>
      </c>
      <c r="C1110" s="8" t="s">
        <v>1364</v>
      </c>
      <c r="D1110" s="8" t="s">
        <v>1365</v>
      </c>
      <c r="E1110" s="39">
        <v>84000</v>
      </c>
      <c r="F1110" s="40" t="s">
        <v>1096</v>
      </c>
    </row>
    <row r="1111" spans="2:6" hidden="1">
      <c r="B1111" s="8">
        <v>1108</v>
      </c>
      <c r="C1111" s="8" t="s">
        <v>726</v>
      </c>
      <c r="D1111" s="8" t="s">
        <v>199</v>
      </c>
      <c r="E1111" s="39">
        <v>156000</v>
      </c>
      <c r="F1111" s="40" t="s">
        <v>1096</v>
      </c>
    </row>
    <row r="1112" spans="2:6" hidden="1">
      <c r="B1112" s="8">
        <v>1109</v>
      </c>
      <c r="C1112" s="8" t="s">
        <v>728</v>
      </c>
      <c r="D1112" s="8" t="s">
        <v>1366</v>
      </c>
      <c r="E1112" s="39">
        <v>145000</v>
      </c>
      <c r="F1112" s="40" t="s">
        <v>1096</v>
      </c>
    </row>
    <row r="1113" spans="2:6" hidden="1">
      <c r="B1113" s="8">
        <v>1110</v>
      </c>
      <c r="C1113" s="8" t="s">
        <v>728</v>
      </c>
      <c r="D1113" s="8" t="s">
        <v>1263</v>
      </c>
      <c r="E1113" s="39">
        <v>202000</v>
      </c>
      <c r="F1113" s="40" t="s">
        <v>1096</v>
      </c>
    </row>
    <row r="1114" spans="2:6" hidden="1">
      <c r="B1114" s="8">
        <v>1111</v>
      </c>
      <c r="C1114" s="8" t="s">
        <v>730</v>
      </c>
      <c r="D1114" s="8" t="s">
        <v>1367</v>
      </c>
      <c r="E1114" s="39">
        <v>53000</v>
      </c>
      <c r="F1114" s="40" t="s">
        <v>1096</v>
      </c>
    </row>
    <row r="1115" spans="2:6" hidden="1">
      <c r="B1115" s="8">
        <v>1112</v>
      </c>
      <c r="C1115" s="8" t="s">
        <v>1368</v>
      </c>
      <c r="D1115" s="8" t="s">
        <v>1369</v>
      </c>
      <c r="E1115" s="39">
        <v>2095000</v>
      </c>
      <c r="F1115" s="40" t="s">
        <v>1096</v>
      </c>
    </row>
    <row r="1116" spans="2:6" hidden="1">
      <c r="B1116" s="8">
        <v>1113</v>
      </c>
      <c r="C1116" s="8" t="s">
        <v>738</v>
      </c>
      <c r="D1116" s="8" t="s">
        <v>199</v>
      </c>
      <c r="E1116" s="39">
        <v>226000</v>
      </c>
      <c r="F1116" s="40" t="s">
        <v>1096</v>
      </c>
    </row>
    <row r="1117" spans="2:6" hidden="1">
      <c r="B1117" s="8">
        <v>1114</v>
      </c>
      <c r="C1117" s="8" t="s">
        <v>738</v>
      </c>
      <c r="D1117" s="8" t="s">
        <v>1370</v>
      </c>
      <c r="E1117" s="39">
        <v>703000</v>
      </c>
      <c r="F1117" s="40" t="s">
        <v>1096</v>
      </c>
    </row>
    <row r="1118" spans="2:6" hidden="1">
      <c r="B1118" s="8">
        <v>1115</v>
      </c>
      <c r="C1118" s="8" t="s">
        <v>742</v>
      </c>
      <c r="D1118" s="8" t="s">
        <v>1371</v>
      </c>
      <c r="E1118" s="39">
        <v>483000</v>
      </c>
      <c r="F1118" s="40" t="s">
        <v>1096</v>
      </c>
    </row>
    <row r="1119" spans="2:6" hidden="1">
      <c r="B1119" s="8">
        <v>1116</v>
      </c>
      <c r="C1119" s="8" t="s">
        <v>745</v>
      </c>
      <c r="D1119" s="8" t="s">
        <v>1372</v>
      </c>
      <c r="E1119" s="39">
        <v>200000</v>
      </c>
      <c r="F1119" s="40" t="s">
        <v>1096</v>
      </c>
    </row>
    <row r="1120" spans="2:6" hidden="1">
      <c r="B1120" s="8">
        <v>1117</v>
      </c>
      <c r="C1120" s="8" t="s">
        <v>745</v>
      </c>
      <c r="D1120" s="8" t="s">
        <v>1373</v>
      </c>
      <c r="E1120" s="39">
        <v>298000</v>
      </c>
      <c r="F1120" s="40" t="s">
        <v>1096</v>
      </c>
    </row>
    <row r="1121" spans="2:6" hidden="1">
      <c r="B1121" s="8">
        <v>1118</v>
      </c>
      <c r="C1121" s="8" t="s">
        <v>749</v>
      </c>
      <c r="D1121" s="8" t="s">
        <v>198</v>
      </c>
      <c r="E1121" s="39">
        <v>1508000</v>
      </c>
      <c r="F1121" s="40" t="s">
        <v>1096</v>
      </c>
    </row>
    <row r="1122" spans="2:6" hidden="1">
      <c r="B1122" s="8">
        <v>1119</v>
      </c>
      <c r="C1122" s="8" t="s">
        <v>756</v>
      </c>
      <c r="D1122" s="8" t="s">
        <v>1374</v>
      </c>
      <c r="E1122" s="39">
        <v>132000</v>
      </c>
      <c r="F1122" s="40" t="s">
        <v>1096</v>
      </c>
    </row>
    <row r="1123" spans="2:6" hidden="1">
      <c r="B1123" s="8">
        <v>1120</v>
      </c>
      <c r="C1123" s="8" t="s">
        <v>756</v>
      </c>
      <c r="D1123" s="8" t="s">
        <v>339</v>
      </c>
      <c r="E1123" s="39">
        <v>210000</v>
      </c>
      <c r="F1123" s="40" t="s">
        <v>1096</v>
      </c>
    </row>
    <row r="1124" spans="2:6" hidden="1">
      <c r="B1124" s="8">
        <v>1121</v>
      </c>
      <c r="C1124" s="8" t="s">
        <v>756</v>
      </c>
      <c r="D1124" s="8" t="s">
        <v>769</v>
      </c>
      <c r="E1124" s="39">
        <v>107000</v>
      </c>
      <c r="F1124" s="40" t="s">
        <v>1096</v>
      </c>
    </row>
    <row r="1125" spans="2:6" hidden="1">
      <c r="B1125" s="8">
        <v>1122</v>
      </c>
      <c r="C1125" s="8" t="s">
        <v>756</v>
      </c>
      <c r="D1125" s="8" t="s">
        <v>1295</v>
      </c>
      <c r="E1125" s="39">
        <v>273000</v>
      </c>
      <c r="F1125" s="40" t="s">
        <v>1096</v>
      </c>
    </row>
    <row r="1126" spans="2:6" hidden="1">
      <c r="B1126" s="8">
        <v>1123</v>
      </c>
      <c r="C1126" s="8" t="s">
        <v>1375</v>
      </c>
      <c r="D1126" s="8" t="s">
        <v>211</v>
      </c>
      <c r="E1126" s="39">
        <v>399000</v>
      </c>
      <c r="F1126" s="40" t="s">
        <v>1096</v>
      </c>
    </row>
    <row r="1127" spans="2:6" hidden="1">
      <c r="B1127" s="8">
        <v>1124</v>
      </c>
      <c r="C1127" s="8" t="s">
        <v>759</v>
      </c>
      <c r="D1127" s="8" t="s">
        <v>319</v>
      </c>
      <c r="E1127" s="39">
        <v>166000</v>
      </c>
      <c r="F1127" s="40" t="s">
        <v>1096</v>
      </c>
    </row>
    <row r="1128" spans="2:6" hidden="1">
      <c r="B1128" s="8">
        <v>1125</v>
      </c>
      <c r="C1128" s="8" t="s">
        <v>759</v>
      </c>
      <c r="D1128" s="8" t="s">
        <v>475</v>
      </c>
      <c r="E1128" s="39">
        <v>618000</v>
      </c>
      <c r="F1128" s="40" t="s">
        <v>1096</v>
      </c>
    </row>
    <row r="1129" spans="2:6" hidden="1">
      <c r="B1129" s="8">
        <v>1126</v>
      </c>
      <c r="C1129" s="8" t="s">
        <v>760</v>
      </c>
      <c r="D1129" s="8" t="s">
        <v>1376</v>
      </c>
      <c r="E1129" s="39">
        <v>236000</v>
      </c>
      <c r="F1129" s="40" t="s">
        <v>1096</v>
      </c>
    </row>
    <row r="1130" spans="2:6" hidden="1">
      <c r="B1130" s="8">
        <v>1127</v>
      </c>
      <c r="C1130" s="8" t="s">
        <v>1377</v>
      </c>
      <c r="D1130" s="8" t="s">
        <v>1378</v>
      </c>
      <c r="E1130" s="39">
        <v>237000</v>
      </c>
      <c r="F1130" s="40" t="s">
        <v>1096</v>
      </c>
    </row>
    <row r="1131" spans="2:6" hidden="1">
      <c r="B1131" s="8">
        <v>1128</v>
      </c>
      <c r="C1131" s="8" t="s">
        <v>762</v>
      </c>
      <c r="D1131" s="8" t="s">
        <v>577</v>
      </c>
      <c r="E1131" s="39">
        <v>420000</v>
      </c>
      <c r="F1131" s="40" t="s">
        <v>1096</v>
      </c>
    </row>
    <row r="1132" spans="2:6" hidden="1">
      <c r="B1132" s="8">
        <v>1129</v>
      </c>
      <c r="C1132" s="8" t="s">
        <v>763</v>
      </c>
      <c r="D1132" s="8" t="s">
        <v>1379</v>
      </c>
      <c r="E1132" s="39">
        <v>233000</v>
      </c>
      <c r="F1132" s="40" t="s">
        <v>1096</v>
      </c>
    </row>
    <row r="1133" spans="2:6" hidden="1">
      <c r="B1133" s="8">
        <v>1130</v>
      </c>
      <c r="C1133" s="8" t="s">
        <v>763</v>
      </c>
      <c r="D1133" s="8" t="s">
        <v>1380</v>
      </c>
      <c r="E1133" s="39">
        <v>561000</v>
      </c>
      <c r="F1133" s="40" t="s">
        <v>1096</v>
      </c>
    </row>
    <row r="1134" spans="2:6" hidden="1">
      <c r="B1134" s="8">
        <v>1131</v>
      </c>
      <c r="C1134" s="8" t="s">
        <v>763</v>
      </c>
      <c r="D1134" s="8" t="s">
        <v>211</v>
      </c>
      <c r="E1134" s="39">
        <v>53000</v>
      </c>
      <c r="F1134" s="40" t="s">
        <v>1096</v>
      </c>
    </row>
    <row r="1135" spans="2:6" hidden="1">
      <c r="B1135" s="8">
        <v>1132</v>
      </c>
      <c r="C1135" s="8" t="s">
        <v>763</v>
      </c>
      <c r="D1135" s="8" t="s">
        <v>1381</v>
      </c>
      <c r="E1135" s="39">
        <v>53000</v>
      </c>
      <c r="F1135" s="40" t="s">
        <v>1096</v>
      </c>
    </row>
    <row r="1136" spans="2:6" hidden="1">
      <c r="B1136" s="8">
        <v>1133</v>
      </c>
      <c r="C1136" s="8" t="s">
        <v>1382</v>
      </c>
      <c r="D1136" s="8" t="s">
        <v>608</v>
      </c>
      <c r="E1136" s="39">
        <v>154000</v>
      </c>
      <c r="F1136" s="40" t="s">
        <v>1096</v>
      </c>
    </row>
    <row r="1137" spans="2:6" hidden="1">
      <c r="B1137" s="8">
        <v>1134</v>
      </c>
      <c r="C1137" s="8" t="s">
        <v>1383</v>
      </c>
      <c r="D1137" s="8" t="s">
        <v>1384</v>
      </c>
      <c r="E1137" s="39">
        <v>186000</v>
      </c>
      <c r="F1137" s="40" t="s">
        <v>1096</v>
      </c>
    </row>
    <row r="1138" spans="2:6" hidden="1">
      <c r="B1138" s="8">
        <v>1135</v>
      </c>
      <c r="C1138" s="8" t="s">
        <v>1385</v>
      </c>
      <c r="D1138" s="8" t="s">
        <v>1386</v>
      </c>
      <c r="E1138" s="39">
        <v>193000</v>
      </c>
      <c r="F1138" s="40" t="s">
        <v>1096</v>
      </c>
    </row>
    <row r="1139" spans="2:6" hidden="1">
      <c r="B1139" s="8">
        <v>1136</v>
      </c>
      <c r="C1139" s="8" t="s">
        <v>1387</v>
      </c>
      <c r="D1139" s="8" t="s">
        <v>1388</v>
      </c>
      <c r="E1139" s="39">
        <v>753000</v>
      </c>
      <c r="F1139" s="40" t="s">
        <v>1096</v>
      </c>
    </row>
    <row r="1140" spans="2:6" hidden="1">
      <c r="B1140" s="8">
        <v>1137</v>
      </c>
      <c r="C1140" s="8" t="s">
        <v>1387</v>
      </c>
      <c r="D1140" s="8" t="s">
        <v>1389</v>
      </c>
      <c r="E1140" s="39">
        <v>733000</v>
      </c>
      <c r="F1140" s="40" t="s">
        <v>1096</v>
      </c>
    </row>
    <row r="1141" spans="2:6" hidden="1">
      <c r="B1141" s="8">
        <v>1138</v>
      </c>
      <c r="C1141" s="8" t="s">
        <v>781</v>
      </c>
      <c r="D1141" s="8" t="s">
        <v>1390</v>
      </c>
      <c r="E1141" s="39">
        <v>130000</v>
      </c>
      <c r="F1141" s="40" t="s">
        <v>1096</v>
      </c>
    </row>
    <row r="1142" spans="2:6" hidden="1">
      <c r="B1142" s="8">
        <v>1139</v>
      </c>
      <c r="C1142" s="8" t="s">
        <v>781</v>
      </c>
      <c r="D1142" s="8" t="s">
        <v>1391</v>
      </c>
      <c r="E1142" s="39">
        <v>1535000</v>
      </c>
      <c r="F1142" s="40" t="s">
        <v>1096</v>
      </c>
    </row>
    <row r="1143" spans="2:6" hidden="1">
      <c r="B1143" s="8">
        <v>1140</v>
      </c>
      <c r="C1143" s="8" t="s">
        <v>781</v>
      </c>
      <c r="D1143" s="8" t="s">
        <v>319</v>
      </c>
      <c r="E1143" s="39">
        <v>64000</v>
      </c>
      <c r="F1143" s="40" t="s">
        <v>1096</v>
      </c>
    </row>
    <row r="1144" spans="2:6" hidden="1">
      <c r="B1144" s="8">
        <v>1141</v>
      </c>
      <c r="C1144" s="8" t="s">
        <v>1392</v>
      </c>
      <c r="D1144" s="8" t="s">
        <v>1393</v>
      </c>
      <c r="E1144" s="39">
        <v>2303000</v>
      </c>
      <c r="F1144" s="40" t="s">
        <v>1096</v>
      </c>
    </row>
    <row r="1145" spans="2:6" hidden="1">
      <c r="B1145" s="8">
        <v>1142</v>
      </c>
      <c r="C1145" s="8" t="s">
        <v>1394</v>
      </c>
      <c r="D1145" s="8" t="s">
        <v>552</v>
      </c>
      <c r="E1145" s="39">
        <v>216000</v>
      </c>
      <c r="F1145" s="40" t="s">
        <v>1096</v>
      </c>
    </row>
    <row r="1146" spans="2:6" hidden="1">
      <c r="B1146" s="8">
        <v>1143</v>
      </c>
      <c r="C1146" s="8" t="s">
        <v>1395</v>
      </c>
      <c r="D1146" s="8" t="s">
        <v>1219</v>
      </c>
      <c r="E1146" s="39">
        <v>84000</v>
      </c>
      <c r="F1146" s="40" t="s">
        <v>1096</v>
      </c>
    </row>
    <row r="1147" spans="2:6" hidden="1">
      <c r="B1147" s="8">
        <v>1144</v>
      </c>
      <c r="C1147" s="8" t="s">
        <v>786</v>
      </c>
      <c r="D1147" s="8" t="s">
        <v>1396</v>
      </c>
      <c r="E1147" s="39">
        <v>227000</v>
      </c>
      <c r="F1147" s="40" t="s">
        <v>1096</v>
      </c>
    </row>
    <row r="1148" spans="2:6" hidden="1">
      <c r="B1148" s="8">
        <v>1145</v>
      </c>
      <c r="C1148" s="8" t="s">
        <v>788</v>
      </c>
      <c r="D1148" s="8" t="s">
        <v>1397</v>
      </c>
      <c r="E1148" s="39">
        <v>498000</v>
      </c>
      <c r="F1148" s="40" t="s">
        <v>1096</v>
      </c>
    </row>
    <row r="1149" spans="2:6" hidden="1">
      <c r="B1149" s="8">
        <v>1146</v>
      </c>
      <c r="C1149" s="8" t="s">
        <v>790</v>
      </c>
      <c r="D1149" s="8" t="s">
        <v>1398</v>
      </c>
      <c r="E1149" s="39">
        <v>148000</v>
      </c>
      <c r="F1149" s="40" t="s">
        <v>1096</v>
      </c>
    </row>
    <row r="1150" spans="2:6" hidden="1">
      <c r="B1150" s="8">
        <v>1147</v>
      </c>
      <c r="C1150" s="8" t="s">
        <v>796</v>
      </c>
      <c r="D1150" s="8" t="s">
        <v>1136</v>
      </c>
      <c r="E1150" s="39">
        <v>94000</v>
      </c>
      <c r="F1150" s="40" t="s">
        <v>1096</v>
      </c>
    </row>
    <row r="1151" spans="2:6" hidden="1">
      <c r="B1151" s="8">
        <v>1148</v>
      </c>
      <c r="C1151" s="8" t="s">
        <v>796</v>
      </c>
      <c r="D1151" s="8" t="s">
        <v>688</v>
      </c>
      <c r="E1151" s="39">
        <v>90000</v>
      </c>
      <c r="F1151" s="40" t="s">
        <v>1096</v>
      </c>
    </row>
    <row r="1152" spans="2:6" hidden="1">
      <c r="B1152" s="8">
        <v>1149</v>
      </c>
      <c r="C1152" s="8" t="s">
        <v>799</v>
      </c>
      <c r="D1152" s="8" t="s">
        <v>659</v>
      </c>
      <c r="E1152" s="39">
        <v>1360000</v>
      </c>
      <c r="F1152" s="40" t="s">
        <v>1096</v>
      </c>
    </row>
    <row r="1153" spans="2:6" hidden="1">
      <c r="B1153" s="8">
        <v>1150</v>
      </c>
      <c r="C1153" s="8" t="s">
        <v>1399</v>
      </c>
      <c r="D1153" s="8" t="s">
        <v>1400</v>
      </c>
      <c r="E1153" s="39">
        <v>166000</v>
      </c>
      <c r="F1153" s="40" t="s">
        <v>1096</v>
      </c>
    </row>
    <row r="1154" spans="2:6" hidden="1">
      <c r="B1154" s="8">
        <v>1151</v>
      </c>
      <c r="C1154" s="8" t="s">
        <v>801</v>
      </c>
      <c r="D1154" s="8" t="s">
        <v>247</v>
      </c>
      <c r="E1154" s="39">
        <v>84000</v>
      </c>
      <c r="F1154" s="40" t="s">
        <v>1096</v>
      </c>
    </row>
    <row r="1155" spans="2:6" hidden="1">
      <c r="B1155" s="8">
        <v>1152</v>
      </c>
      <c r="C1155" s="8" t="s">
        <v>1401</v>
      </c>
      <c r="D1155" s="8" t="s">
        <v>1402</v>
      </c>
      <c r="E1155" s="39">
        <v>231000</v>
      </c>
      <c r="F1155" s="40" t="s">
        <v>1096</v>
      </c>
    </row>
    <row r="1156" spans="2:6" hidden="1">
      <c r="B1156" s="8">
        <v>1153</v>
      </c>
      <c r="C1156" s="8" t="s">
        <v>1403</v>
      </c>
      <c r="D1156" s="8" t="s">
        <v>1404</v>
      </c>
      <c r="E1156" s="39">
        <v>123000</v>
      </c>
      <c r="F1156" s="40" t="s">
        <v>1096</v>
      </c>
    </row>
    <row r="1157" spans="2:6" hidden="1">
      <c r="B1157" s="8">
        <v>1154</v>
      </c>
      <c r="C1157" s="8" t="s">
        <v>1403</v>
      </c>
      <c r="D1157" s="8" t="s">
        <v>791</v>
      </c>
      <c r="E1157" s="39">
        <v>178000</v>
      </c>
      <c r="F1157" s="40" t="s">
        <v>1096</v>
      </c>
    </row>
    <row r="1158" spans="2:6" hidden="1">
      <c r="B1158" s="8">
        <v>1155</v>
      </c>
      <c r="C1158" s="8" t="s">
        <v>806</v>
      </c>
      <c r="D1158" s="8" t="s">
        <v>1405</v>
      </c>
      <c r="E1158" s="39">
        <v>310000</v>
      </c>
      <c r="F1158" s="40" t="s">
        <v>1096</v>
      </c>
    </row>
    <row r="1159" spans="2:6" hidden="1">
      <c r="B1159" s="8">
        <v>1156</v>
      </c>
      <c r="C1159" s="8" t="s">
        <v>806</v>
      </c>
      <c r="D1159" s="8" t="s">
        <v>1406</v>
      </c>
      <c r="E1159" s="39">
        <v>719000</v>
      </c>
      <c r="F1159" s="40" t="s">
        <v>1096</v>
      </c>
    </row>
    <row r="1160" spans="2:6" hidden="1">
      <c r="B1160" s="8">
        <v>1157</v>
      </c>
      <c r="C1160" s="8" t="s">
        <v>806</v>
      </c>
      <c r="D1160" s="8" t="s">
        <v>1407</v>
      </c>
      <c r="E1160" s="39">
        <v>58000</v>
      </c>
      <c r="F1160" s="40" t="s">
        <v>1096</v>
      </c>
    </row>
    <row r="1161" spans="2:6" hidden="1">
      <c r="B1161" s="8">
        <v>1158</v>
      </c>
      <c r="C1161" s="8" t="s">
        <v>810</v>
      </c>
      <c r="D1161" s="8" t="s">
        <v>306</v>
      </c>
      <c r="E1161" s="39">
        <v>132000</v>
      </c>
      <c r="F1161" s="40" t="s">
        <v>1096</v>
      </c>
    </row>
    <row r="1162" spans="2:6" hidden="1">
      <c r="B1162" s="8">
        <v>1159</v>
      </c>
      <c r="C1162" s="8" t="s">
        <v>810</v>
      </c>
      <c r="D1162" s="8" t="s">
        <v>1408</v>
      </c>
      <c r="E1162" s="39">
        <v>382000</v>
      </c>
      <c r="F1162" s="40" t="s">
        <v>1096</v>
      </c>
    </row>
    <row r="1163" spans="2:6" hidden="1">
      <c r="B1163" s="8">
        <v>1160</v>
      </c>
      <c r="C1163" s="8" t="s">
        <v>812</v>
      </c>
      <c r="D1163" s="8" t="s">
        <v>1409</v>
      </c>
      <c r="E1163" s="39">
        <v>53000</v>
      </c>
      <c r="F1163" s="40" t="s">
        <v>1096</v>
      </c>
    </row>
    <row r="1164" spans="2:6" hidden="1">
      <c r="B1164" s="8">
        <v>1161</v>
      </c>
      <c r="C1164" s="8" t="s">
        <v>812</v>
      </c>
      <c r="D1164" s="8" t="s">
        <v>211</v>
      </c>
      <c r="E1164" s="39">
        <v>53000</v>
      </c>
      <c r="F1164" s="40" t="s">
        <v>1096</v>
      </c>
    </row>
    <row r="1165" spans="2:6" hidden="1">
      <c r="B1165" s="8">
        <v>1162</v>
      </c>
      <c r="C1165" s="8" t="s">
        <v>812</v>
      </c>
      <c r="D1165" s="8" t="s">
        <v>1410</v>
      </c>
      <c r="E1165" s="39">
        <v>374000</v>
      </c>
      <c r="F1165" s="40" t="s">
        <v>1096</v>
      </c>
    </row>
    <row r="1166" spans="2:6" hidden="1">
      <c r="B1166" s="8">
        <v>1163</v>
      </c>
      <c r="C1166" s="8" t="s">
        <v>815</v>
      </c>
      <c r="D1166" s="8" t="s">
        <v>199</v>
      </c>
      <c r="E1166" s="39">
        <v>227000</v>
      </c>
      <c r="F1166" s="40" t="s">
        <v>1096</v>
      </c>
    </row>
    <row r="1167" spans="2:6" hidden="1">
      <c r="B1167" s="8">
        <v>1164</v>
      </c>
      <c r="C1167" s="8" t="s">
        <v>816</v>
      </c>
      <c r="D1167" s="8" t="s">
        <v>213</v>
      </c>
      <c r="E1167" s="39">
        <v>113000</v>
      </c>
      <c r="F1167" s="40" t="s">
        <v>1096</v>
      </c>
    </row>
    <row r="1168" spans="2:6" hidden="1">
      <c r="B1168" s="8">
        <v>1165</v>
      </c>
      <c r="C1168" s="8" t="s">
        <v>816</v>
      </c>
      <c r="D1168" s="8" t="s">
        <v>518</v>
      </c>
      <c r="E1168" s="39">
        <v>359000</v>
      </c>
      <c r="F1168" s="40" t="s">
        <v>1096</v>
      </c>
    </row>
    <row r="1169" spans="2:6" hidden="1">
      <c r="B1169" s="8">
        <v>1166</v>
      </c>
      <c r="C1169" s="8" t="s">
        <v>816</v>
      </c>
      <c r="D1169" s="8" t="s">
        <v>1411</v>
      </c>
      <c r="E1169" s="39">
        <v>837000</v>
      </c>
      <c r="F1169" s="40" t="s">
        <v>1096</v>
      </c>
    </row>
    <row r="1170" spans="2:6" hidden="1">
      <c r="B1170" s="8">
        <v>1167</v>
      </c>
      <c r="C1170" s="8" t="s">
        <v>817</v>
      </c>
      <c r="D1170" s="8" t="s">
        <v>198</v>
      </c>
      <c r="E1170" s="39">
        <v>593000</v>
      </c>
      <c r="F1170" s="40" t="s">
        <v>1096</v>
      </c>
    </row>
    <row r="1171" spans="2:6" hidden="1">
      <c r="B1171" s="8">
        <v>1168</v>
      </c>
      <c r="C1171" s="8" t="s">
        <v>817</v>
      </c>
      <c r="D1171" s="8" t="s">
        <v>1412</v>
      </c>
      <c r="E1171" s="39">
        <v>53000</v>
      </c>
      <c r="F1171" s="40" t="s">
        <v>1096</v>
      </c>
    </row>
    <row r="1172" spans="2:6" hidden="1">
      <c r="B1172" s="8">
        <v>1169</v>
      </c>
      <c r="C1172" s="8" t="s">
        <v>821</v>
      </c>
      <c r="D1172" s="8" t="s">
        <v>1413</v>
      </c>
      <c r="E1172" s="39">
        <v>124000</v>
      </c>
      <c r="F1172" s="40" t="s">
        <v>1096</v>
      </c>
    </row>
    <row r="1173" spans="2:6" hidden="1">
      <c r="B1173" s="8">
        <v>1170</v>
      </c>
      <c r="C1173" s="8" t="s">
        <v>1414</v>
      </c>
      <c r="D1173" s="8" t="s">
        <v>204</v>
      </c>
      <c r="E1173" s="39">
        <v>362000</v>
      </c>
      <c r="F1173" s="40" t="s">
        <v>1096</v>
      </c>
    </row>
    <row r="1174" spans="2:6" hidden="1">
      <c r="B1174" s="8">
        <v>1171</v>
      </c>
      <c r="C1174" s="8" t="s">
        <v>1414</v>
      </c>
      <c r="D1174" s="8" t="s">
        <v>1415</v>
      </c>
      <c r="E1174" s="39">
        <v>203000</v>
      </c>
      <c r="F1174" s="40" t="s">
        <v>1096</v>
      </c>
    </row>
    <row r="1175" spans="2:6" hidden="1">
      <c r="B1175" s="8">
        <v>1172</v>
      </c>
      <c r="C1175" s="8" t="s">
        <v>831</v>
      </c>
      <c r="D1175" s="8" t="s">
        <v>1416</v>
      </c>
      <c r="E1175" s="39">
        <v>365000</v>
      </c>
      <c r="F1175" s="40" t="s">
        <v>1096</v>
      </c>
    </row>
    <row r="1176" spans="2:6" hidden="1">
      <c r="B1176" s="8">
        <v>1173</v>
      </c>
      <c r="C1176" s="8" t="s">
        <v>1417</v>
      </c>
      <c r="D1176" s="8" t="s">
        <v>1418</v>
      </c>
      <c r="E1176" s="39">
        <v>239000</v>
      </c>
      <c r="F1176" s="40" t="s">
        <v>1096</v>
      </c>
    </row>
    <row r="1177" spans="2:6" hidden="1">
      <c r="B1177" s="8">
        <v>1174</v>
      </c>
      <c r="C1177" s="8" t="s">
        <v>1417</v>
      </c>
      <c r="D1177" s="8" t="s">
        <v>217</v>
      </c>
      <c r="E1177" s="39">
        <v>1927000</v>
      </c>
      <c r="F1177" s="40" t="s">
        <v>1096</v>
      </c>
    </row>
    <row r="1178" spans="2:6" hidden="1">
      <c r="B1178" s="8">
        <v>1175</v>
      </c>
      <c r="C1178" s="8" t="s">
        <v>1419</v>
      </c>
      <c r="D1178" s="8" t="s">
        <v>1420</v>
      </c>
      <c r="E1178" s="39">
        <v>177000</v>
      </c>
      <c r="F1178" s="40" t="s">
        <v>1096</v>
      </c>
    </row>
    <row r="1179" spans="2:6" hidden="1">
      <c r="B1179" s="8">
        <v>1176</v>
      </c>
      <c r="C1179" s="8" t="s">
        <v>1421</v>
      </c>
      <c r="D1179" s="8" t="s">
        <v>1264</v>
      </c>
      <c r="E1179" s="39">
        <v>268000</v>
      </c>
      <c r="F1179" s="40" t="s">
        <v>1096</v>
      </c>
    </row>
    <row r="1180" spans="2:6" hidden="1">
      <c r="B1180" s="8">
        <v>1177</v>
      </c>
      <c r="C1180" s="8" t="s">
        <v>1421</v>
      </c>
      <c r="D1180" s="8" t="s">
        <v>1422</v>
      </c>
      <c r="E1180" s="39">
        <v>129000</v>
      </c>
      <c r="F1180" s="40" t="s">
        <v>1096</v>
      </c>
    </row>
    <row r="1181" spans="2:6" hidden="1">
      <c r="B1181" s="8">
        <v>1178</v>
      </c>
      <c r="C1181" s="8" t="s">
        <v>833</v>
      </c>
      <c r="D1181" s="8" t="s">
        <v>198</v>
      </c>
      <c r="E1181" s="39">
        <v>453000</v>
      </c>
      <c r="F1181" s="40" t="s">
        <v>1096</v>
      </c>
    </row>
    <row r="1182" spans="2:6" hidden="1">
      <c r="B1182" s="8">
        <v>1179</v>
      </c>
      <c r="C1182" s="8" t="s">
        <v>833</v>
      </c>
      <c r="D1182" s="8" t="s">
        <v>1423</v>
      </c>
      <c r="E1182" s="39">
        <v>85000</v>
      </c>
      <c r="F1182" s="40" t="s">
        <v>1096</v>
      </c>
    </row>
    <row r="1183" spans="2:6" hidden="1">
      <c r="B1183" s="8">
        <v>1180</v>
      </c>
      <c r="C1183" s="8" t="s">
        <v>833</v>
      </c>
      <c r="D1183" s="8" t="s">
        <v>1424</v>
      </c>
      <c r="E1183" s="39">
        <v>136000</v>
      </c>
      <c r="F1183" s="40" t="s">
        <v>1096</v>
      </c>
    </row>
    <row r="1184" spans="2:6" hidden="1">
      <c r="B1184" s="8">
        <v>1181</v>
      </c>
      <c r="C1184" s="8" t="s">
        <v>1425</v>
      </c>
      <c r="D1184" s="8" t="s">
        <v>1426</v>
      </c>
      <c r="E1184" s="39">
        <v>156000</v>
      </c>
      <c r="F1184" s="40" t="s">
        <v>1096</v>
      </c>
    </row>
    <row r="1185" spans="2:6" hidden="1">
      <c r="B1185" s="8">
        <v>1182</v>
      </c>
      <c r="C1185" s="8" t="s">
        <v>835</v>
      </c>
      <c r="D1185" s="8" t="s">
        <v>1427</v>
      </c>
      <c r="E1185" s="39">
        <v>128000</v>
      </c>
      <c r="F1185" s="40" t="s">
        <v>1096</v>
      </c>
    </row>
    <row r="1186" spans="2:6" hidden="1">
      <c r="B1186" s="8">
        <v>1183</v>
      </c>
      <c r="C1186" s="8" t="s">
        <v>1428</v>
      </c>
      <c r="D1186" s="8" t="s">
        <v>319</v>
      </c>
      <c r="E1186" s="39">
        <v>218000</v>
      </c>
      <c r="F1186" s="40" t="s">
        <v>1096</v>
      </c>
    </row>
    <row r="1187" spans="2:6" hidden="1">
      <c r="B1187" s="8">
        <v>1184</v>
      </c>
      <c r="C1187" s="8" t="s">
        <v>839</v>
      </c>
      <c r="D1187" s="8" t="s">
        <v>507</v>
      </c>
      <c r="E1187" s="39">
        <v>363000</v>
      </c>
      <c r="F1187" s="40" t="s">
        <v>1096</v>
      </c>
    </row>
    <row r="1188" spans="2:6" hidden="1">
      <c r="B1188" s="8">
        <v>1185</v>
      </c>
      <c r="C1188" s="8" t="s">
        <v>839</v>
      </c>
      <c r="D1188" s="8" t="s">
        <v>1010</v>
      </c>
      <c r="E1188" s="39">
        <v>121000</v>
      </c>
      <c r="F1188" s="40" t="s">
        <v>1096</v>
      </c>
    </row>
    <row r="1189" spans="2:6" hidden="1">
      <c r="B1189" s="8">
        <v>1186</v>
      </c>
      <c r="C1189" s="8" t="s">
        <v>1429</v>
      </c>
      <c r="D1189" s="8" t="s">
        <v>1430</v>
      </c>
      <c r="E1189" s="39">
        <v>84000</v>
      </c>
      <c r="F1189" s="40" t="s">
        <v>1096</v>
      </c>
    </row>
    <row r="1190" spans="2:6" hidden="1">
      <c r="B1190" s="8">
        <v>1187</v>
      </c>
      <c r="C1190" s="8" t="s">
        <v>1429</v>
      </c>
      <c r="D1190" s="8" t="s">
        <v>1431</v>
      </c>
      <c r="E1190" s="39">
        <v>434000</v>
      </c>
      <c r="F1190" s="40" t="s">
        <v>1096</v>
      </c>
    </row>
    <row r="1191" spans="2:6" hidden="1">
      <c r="B1191" s="8">
        <v>1188</v>
      </c>
      <c r="C1191" s="8" t="s">
        <v>846</v>
      </c>
      <c r="D1191" s="8" t="s">
        <v>199</v>
      </c>
      <c r="E1191" s="39">
        <v>53000</v>
      </c>
      <c r="F1191" s="40" t="s">
        <v>1096</v>
      </c>
    </row>
    <row r="1192" spans="2:6" hidden="1">
      <c r="B1192" s="8">
        <v>1189</v>
      </c>
      <c r="C1192" s="8" t="s">
        <v>1432</v>
      </c>
      <c r="D1192" s="8" t="s">
        <v>534</v>
      </c>
      <c r="E1192" s="39">
        <v>216000</v>
      </c>
      <c r="F1192" s="40" t="s">
        <v>1096</v>
      </c>
    </row>
    <row r="1193" spans="2:6" hidden="1">
      <c r="B1193" s="8">
        <v>1190</v>
      </c>
      <c r="C1193" s="8" t="s">
        <v>848</v>
      </c>
      <c r="D1193" s="8" t="s">
        <v>1433</v>
      </c>
      <c r="E1193" s="39">
        <v>135000</v>
      </c>
      <c r="F1193" s="40" t="s">
        <v>1096</v>
      </c>
    </row>
    <row r="1194" spans="2:6" hidden="1">
      <c r="B1194" s="8">
        <v>1191</v>
      </c>
      <c r="C1194" s="8" t="s">
        <v>1434</v>
      </c>
      <c r="D1194" s="8" t="s">
        <v>1435</v>
      </c>
      <c r="E1194" s="39">
        <v>210000</v>
      </c>
      <c r="F1194" s="40" t="s">
        <v>1096</v>
      </c>
    </row>
    <row r="1195" spans="2:6" hidden="1">
      <c r="B1195" s="8">
        <v>1192</v>
      </c>
      <c r="C1195" s="8" t="s">
        <v>852</v>
      </c>
      <c r="D1195" s="8" t="s">
        <v>198</v>
      </c>
      <c r="E1195" s="39">
        <v>444000</v>
      </c>
      <c r="F1195" s="40" t="s">
        <v>1096</v>
      </c>
    </row>
    <row r="1196" spans="2:6" hidden="1">
      <c r="B1196" s="8">
        <v>1193</v>
      </c>
      <c r="C1196" s="8" t="s">
        <v>852</v>
      </c>
      <c r="D1196" s="8" t="s">
        <v>1436</v>
      </c>
      <c r="E1196" s="39">
        <v>99000</v>
      </c>
      <c r="F1196" s="40" t="s">
        <v>1096</v>
      </c>
    </row>
    <row r="1197" spans="2:6" hidden="1">
      <c r="B1197" s="8">
        <v>1194</v>
      </c>
      <c r="C1197" s="8" t="s">
        <v>852</v>
      </c>
      <c r="D1197" s="8" t="s">
        <v>211</v>
      </c>
      <c r="E1197" s="39">
        <v>119000</v>
      </c>
      <c r="F1197" s="40" t="s">
        <v>1096</v>
      </c>
    </row>
    <row r="1198" spans="2:6" hidden="1">
      <c r="B1198" s="8">
        <v>1195</v>
      </c>
      <c r="C1198" s="8" t="s">
        <v>860</v>
      </c>
      <c r="D1198" s="8" t="s">
        <v>198</v>
      </c>
      <c r="E1198" s="39">
        <v>712000</v>
      </c>
      <c r="F1198" s="40" t="s">
        <v>1096</v>
      </c>
    </row>
    <row r="1199" spans="2:6" hidden="1">
      <c r="B1199" s="8">
        <v>1196</v>
      </c>
      <c r="C1199" s="8" t="s">
        <v>860</v>
      </c>
      <c r="D1199" s="8" t="s">
        <v>1437</v>
      </c>
      <c r="E1199" s="39">
        <v>369000</v>
      </c>
      <c r="F1199" s="40" t="s">
        <v>1096</v>
      </c>
    </row>
    <row r="1200" spans="2:6" hidden="1">
      <c r="B1200" s="8">
        <v>1197</v>
      </c>
      <c r="C1200" s="8" t="s">
        <v>860</v>
      </c>
      <c r="D1200" s="8" t="s">
        <v>1438</v>
      </c>
      <c r="E1200" s="39">
        <v>155000</v>
      </c>
      <c r="F1200" s="40" t="s">
        <v>1096</v>
      </c>
    </row>
    <row r="1201" spans="2:6" hidden="1">
      <c r="B1201" s="8">
        <v>1198</v>
      </c>
      <c r="C1201" s="8" t="s">
        <v>868</v>
      </c>
      <c r="D1201" s="8" t="s">
        <v>983</v>
      </c>
      <c r="E1201" s="39">
        <v>158000</v>
      </c>
      <c r="F1201" s="40" t="s">
        <v>1096</v>
      </c>
    </row>
    <row r="1202" spans="2:6" hidden="1">
      <c r="B1202" s="8">
        <v>1199</v>
      </c>
      <c r="C1202" s="8" t="s">
        <v>872</v>
      </c>
      <c r="D1202" s="8" t="s">
        <v>1433</v>
      </c>
      <c r="E1202" s="39">
        <v>138000</v>
      </c>
      <c r="F1202" s="40" t="s">
        <v>1096</v>
      </c>
    </row>
    <row r="1203" spans="2:6" hidden="1">
      <c r="B1203" s="8">
        <v>1200</v>
      </c>
      <c r="C1203" s="8" t="s">
        <v>873</v>
      </c>
      <c r="D1203" s="8" t="s">
        <v>804</v>
      </c>
      <c r="E1203" s="39">
        <v>59000</v>
      </c>
      <c r="F1203" s="40" t="s">
        <v>1096</v>
      </c>
    </row>
    <row r="1204" spans="2:6" hidden="1">
      <c r="B1204" s="8">
        <v>1201</v>
      </c>
      <c r="C1204" s="8" t="s">
        <v>883</v>
      </c>
      <c r="D1204" s="8" t="s">
        <v>1439</v>
      </c>
      <c r="E1204" s="39">
        <v>96000</v>
      </c>
      <c r="F1204" s="40" t="s">
        <v>1096</v>
      </c>
    </row>
    <row r="1205" spans="2:6" hidden="1">
      <c r="B1205" s="8">
        <v>1202</v>
      </c>
      <c r="C1205" s="8" t="s">
        <v>883</v>
      </c>
      <c r="D1205" s="8" t="s">
        <v>1440</v>
      </c>
      <c r="E1205" s="39">
        <v>350000</v>
      </c>
      <c r="F1205" s="40" t="s">
        <v>1096</v>
      </c>
    </row>
    <row r="1206" spans="2:6" hidden="1">
      <c r="B1206" s="8">
        <v>1203</v>
      </c>
      <c r="C1206" s="8" t="s">
        <v>1441</v>
      </c>
      <c r="D1206" s="8" t="s">
        <v>1442</v>
      </c>
      <c r="E1206" s="39">
        <v>335000</v>
      </c>
      <c r="F1206" s="40" t="s">
        <v>1096</v>
      </c>
    </row>
    <row r="1207" spans="2:6" hidden="1">
      <c r="B1207" s="8">
        <v>1204</v>
      </c>
      <c r="C1207" s="8" t="s">
        <v>893</v>
      </c>
      <c r="D1207" s="8" t="s">
        <v>1443</v>
      </c>
      <c r="E1207" s="39">
        <v>263000</v>
      </c>
      <c r="F1207" s="40" t="s">
        <v>1096</v>
      </c>
    </row>
    <row r="1208" spans="2:6" hidden="1">
      <c r="B1208" s="8">
        <v>1205</v>
      </c>
      <c r="C1208" s="8" t="s">
        <v>1444</v>
      </c>
      <c r="D1208" s="8" t="s">
        <v>219</v>
      </c>
      <c r="E1208" s="39">
        <v>53000</v>
      </c>
      <c r="F1208" s="40" t="s">
        <v>1096</v>
      </c>
    </row>
    <row r="1209" spans="2:6" hidden="1">
      <c r="B1209" s="8">
        <v>1206</v>
      </c>
      <c r="C1209" s="8" t="s">
        <v>901</v>
      </c>
      <c r="D1209" s="8" t="s">
        <v>1445</v>
      </c>
      <c r="E1209" s="39">
        <v>120000</v>
      </c>
      <c r="F1209" s="40" t="s">
        <v>1096</v>
      </c>
    </row>
    <row r="1210" spans="2:6" hidden="1">
      <c r="B1210" s="8">
        <v>1207</v>
      </c>
      <c r="C1210" s="8" t="s">
        <v>901</v>
      </c>
      <c r="D1210" s="8" t="s">
        <v>1250</v>
      </c>
      <c r="E1210" s="39">
        <v>472000</v>
      </c>
      <c r="F1210" s="40" t="s">
        <v>1096</v>
      </c>
    </row>
    <row r="1211" spans="2:6" hidden="1">
      <c r="B1211" s="8">
        <v>1208</v>
      </c>
      <c r="C1211" s="8" t="s">
        <v>1446</v>
      </c>
      <c r="D1211" s="8" t="s">
        <v>911</v>
      </c>
      <c r="E1211" s="39">
        <v>135000</v>
      </c>
      <c r="F1211" s="40" t="s">
        <v>1096</v>
      </c>
    </row>
    <row r="1212" spans="2:6" hidden="1">
      <c r="B1212" s="8">
        <v>1209</v>
      </c>
      <c r="C1212" s="8" t="s">
        <v>1446</v>
      </c>
      <c r="D1212" s="8" t="s">
        <v>1447</v>
      </c>
      <c r="E1212" s="39">
        <v>94000</v>
      </c>
      <c r="F1212" s="40" t="s">
        <v>1096</v>
      </c>
    </row>
    <row r="1213" spans="2:6" hidden="1">
      <c r="B1213" s="8">
        <v>1210</v>
      </c>
      <c r="C1213" s="8" t="s">
        <v>910</v>
      </c>
      <c r="D1213" s="8" t="s">
        <v>1423</v>
      </c>
      <c r="E1213" s="39">
        <v>100000</v>
      </c>
      <c r="F1213" s="40" t="s">
        <v>1096</v>
      </c>
    </row>
    <row r="1214" spans="2:6" hidden="1">
      <c r="B1214" s="8">
        <v>1211</v>
      </c>
      <c r="C1214" s="8" t="s">
        <v>913</v>
      </c>
      <c r="D1214" s="8" t="s">
        <v>198</v>
      </c>
      <c r="E1214" s="39">
        <v>466000</v>
      </c>
      <c r="F1214" s="40" t="s">
        <v>1096</v>
      </c>
    </row>
    <row r="1215" spans="2:6" hidden="1">
      <c r="B1215" s="8">
        <v>1212</v>
      </c>
      <c r="C1215" s="8" t="s">
        <v>913</v>
      </c>
      <c r="D1215" s="8" t="s">
        <v>507</v>
      </c>
      <c r="E1215" s="39">
        <v>291000</v>
      </c>
      <c r="F1215" s="40" t="s">
        <v>1096</v>
      </c>
    </row>
    <row r="1216" spans="2:6" hidden="1">
      <c r="B1216" s="8">
        <v>1213</v>
      </c>
      <c r="C1216" s="8" t="s">
        <v>914</v>
      </c>
      <c r="D1216" s="8" t="s">
        <v>319</v>
      </c>
      <c r="E1216" s="39">
        <v>441000</v>
      </c>
      <c r="F1216" s="40" t="s">
        <v>1096</v>
      </c>
    </row>
    <row r="1217" spans="2:6" hidden="1">
      <c r="B1217" s="8">
        <v>1214</v>
      </c>
      <c r="C1217" s="8" t="s">
        <v>914</v>
      </c>
      <c r="D1217" s="8" t="s">
        <v>1287</v>
      </c>
      <c r="E1217" s="39">
        <v>1442000</v>
      </c>
      <c r="F1217" s="40" t="s">
        <v>1096</v>
      </c>
    </row>
    <row r="1218" spans="2:6" hidden="1">
      <c r="B1218" s="8">
        <v>1215</v>
      </c>
      <c r="C1218" s="8" t="s">
        <v>1448</v>
      </c>
      <c r="D1218" s="8" t="s">
        <v>1449</v>
      </c>
      <c r="E1218" s="39">
        <v>1514000</v>
      </c>
      <c r="F1218" s="40" t="s">
        <v>1096</v>
      </c>
    </row>
    <row r="1219" spans="2:6" hidden="1">
      <c r="B1219" s="8">
        <v>1216</v>
      </c>
      <c r="C1219" s="8" t="s">
        <v>1448</v>
      </c>
      <c r="D1219" s="8" t="s">
        <v>890</v>
      </c>
      <c r="E1219" s="39">
        <v>216000</v>
      </c>
      <c r="F1219" s="40" t="s">
        <v>1096</v>
      </c>
    </row>
    <row r="1220" spans="2:6" hidden="1">
      <c r="B1220" s="8">
        <v>1217</v>
      </c>
      <c r="C1220" s="8" t="s">
        <v>1450</v>
      </c>
      <c r="D1220" s="8" t="s">
        <v>507</v>
      </c>
      <c r="E1220" s="39">
        <v>398000</v>
      </c>
      <c r="F1220" s="40" t="s">
        <v>1096</v>
      </c>
    </row>
    <row r="1221" spans="2:6" hidden="1">
      <c r="B1221" s="8">
        <v>1218</v>
      </c>
      <c r="C1221" s="8" t="s">
        <v>1451</v>
      </c>
      <c r="D1221" s="8" t="s">
        <v>552</v>
      </c>
      <c r="E1221" s="39">
        <v>84000</v>
      </c>
      <c r="F1221" s="40" t="s">
        <v>1096</v>
      </c>
    </row>
    <row r="1222" spans="2:6" hidden="1">
      <c r="B1222" s="8">
        <v>1219</v>
      </c>
      <c r="C1222" s="8" t="s">
        <v>1451</v>
      </c>
      <c r="D1222" s="8" t="s">
        <v>198</v>
      </c>
      <c r="E1222" s="39">
        <v>73000</v>
      </c>
      <c r="F1222" s="40" t="s">
        <v>1096</v>
      </c>
    </row>
    <row r="1223" spans="2:6" hidden="1">
      <c r="B1223" s="8">
        <v>1220</v>
      </c>
      <c r="C1223" s="8" t="s">
        <v>1451</v>
      </c>
      <c r="D1223" s="8" t="s">
        <v>1452</v>
      </c>
      <c r="E1223" s="39">
        <v>211000</v>
      </c>
      <c r="F1223" s="40" t="s">
        <v>1096</v>
      </c>
    </row>
    <row r="1224" spans="2:6" hidden="1">
      <c r="B1224" s="8">
        <v>1221</v>
      </c>
      <c r="C1224" s="8" t="s">
        <v>1453</v>
      </c>
      <c r="D1224" s="8" t="s">
        <v>1343</v>
      </c>
      <c r="E1224" s="39">
        <v>93000</v>
      </c>
      <c r="F1224" s="40" t="s">
        <v>1096</v>
      </c>
    </row>
    <row r="1225" spans="2:6" hidden="1">
      <c r="B1225" s="8">
        <v>1222</v>
      </c>
      <c r="C1225" s="8" t="s">
        <v>929</v>
      </c>
      <c r="D1225" s="8" t="s">
        <v>1454</v>
      </c>
      <c r="E1225" s="39">
        <v>276000</v>
      </c>
      <c r="F1225" s="40" t="s">
        <v>1096</v>
      </c>
    </row>
    <row r="1226" spans="2:6" hidden="1">
      <c r="B1226" s="8">
        <v>1223</v>
      </c>
      <c r="C1226" s="8" t="s">
        <v>933</v>
      </c>
      <c r="D1226" s="8" t="s">
        <v>319</v>
      </c>
      <c r="E1226" s="39">
        <v>123000</v>
      </c>
      <c r="F1226" s="40" t="s">
        <v>1096</v>
      </c>
    </row>
    <row r="1227" spans="2:6" hidden="1">
      <c r="B1227" s="8">
        <v>1224</v>
      </c>
      <c r="C1227" s="8" t="s">
        <v>1455</v>
      </c>
      <c r="D1227" s="8" t="s">
        <v>608</v>
      </c>
      <c r="E1227" s="39">
        <v>200000</v>
      </c>
      <c r="F1227" s="40" t="s">
        <v>1096</v>
      </c>
    </row>
    <row r="1228" spans="2:6" hidden="1">
      <c r="B1228" s="8">
        <v>1225</v>
      </c>
      <c r="C1228" s="8" t="s">
        <v>1455</v>
      </c>
      <c r="D1228" s="8" t="s">
        <v>838</v>
      </c>
      <c r="E1228" s="39">
        <v>53000</v>
      </c>
      <c r="F1228" s="40" t="s">
        <v>1096</v>
      </c>
    </row>
    <row r="1229" spans="2:6" hidden="1">
      <c r="B1229" s="8">
        <v>1226</v>
      </c>
      <c r="C1229" s="8" t="s">
        <v>1456</v>
      </c>
      <c r="D1229" s="8" t="s">
        <v>507</v>
      </c>
      <c r="E1229" s="39">
        <v>290000</v>
      </c>
      <c r="F1229" s="40" t="s">
        <v>1096</v>
      </c>
    </row>
    <row r="1230" spans="2:6" hidden="1">
      <c r="B1230" s="8">
        <v>1227</v>
      </c>
      <c r="C1230" s="8" t="s">
        <v>1457</v>
      </c>
      <c r="D1230" s="8" t="s">
        <v>1458</v>
      </c>
      <c r="E1230" s="39">
        <v>675000</v>
      </c>
      <c r="F1230" s="40" t="s">
        <v>1096</v>
      </c>
    </row>
    <row r="1231" spans="2:6" hidden="1">
      <c r="B1231" s="8">
        <v>1228</v>
      </c>
      <c r="C1231" s="8" t="s">
        <v>1459</v>
      </c>
      <c r="D1231" s="8" t="s">
        <v>1460</v>
      </c>
      <c r="E1231" s="39">
        <v>309000</v>
      </c>
      <c r="F1231" s="40" t="s">
        <v>1096</v>
      </c>
    </row>
    <row r="1232" spans="2:6" hidden="1">
      <c r="B1232" s="8">
        <v>1229</v>
      </c>
      <c r="C1232" s="8" t="s">
        <v>1459</v>
      </c>
      <c r="D1232" s="8" t="s">
        <v>198</v>
      </c>
      <c r="E1232" s="39">
        <v>962000</v>
      </c>
      <c r="F1232" s="40" t="s">
        <v>1096</v>
      </c>
    </row>
    <row r="1233" spans="2:6" hidden="1">
      <c r="B1233" s="8">
        <v>1230</v>
      </c>
      <c r="C1233" s="8" t="s">
        <v>1459</v>
      </c>
      <c r="D1233" s="8" t="s">
        <v>507</v>
      </c>
      <c r="E1233" s="39">
        <v>403000</v>
      </c>
      <c r="F1233" s="40" t="s">
        <v>1096</v>
      </c>
    </row>
    <row r="1234" spans="2:6" hidden="1">
      <c r="B1234" s="8">
        <v>1231</v>
      </c>
      <c r="C1234" s="8" t="s">
        <v>943</v>
      </c>
      <c r="D1234" s="8" t="s">
        <v>1461</v>
      </c>
      <c r="E1234" s="39">
        <v>182000</v>
      </c>
      <c r="F1234" s="40" t="s">
        <v>1096</v>
      </c>
    </row>
    <row r="1235" spans="2:6" hidden="1">
      <c r="B1235" s="8">
        <v>1232</v>
      </c>
      <c r="C1235" s="8" t="s">
        <v>943</v>
      </c>
      <c r="D1235" s="8" t="s">
        <v>1462</v>
      </c>
      <c r="E1235" s="39">
        <v>166000</v>
      </c>
      <c r="F1235" s="40" t="s">
        <v>1096</v>
      </c>
    </row>
    <row r="1236" spans="2:6" hidden="1">
      <c r="B1236" s="8">
        <v>1233</v>
      </c>
      <c r="C1236" s="8" t="s">
        <v>1463</v>
      </c>
      <c r="D1236" s="8" t="s">
        <v>319</v>
      </c>
      <c r="E1236" s="39">
        <v>185000</v>
      </c>
      <c r="F1236" s="40" t="s">
        <v>1096</v>
      </c>
    </row>
    <row r="1237" spans="2:6" hidden="1">
      <c r="B1237" s="8">
        <v>1234</v>
      </c>
      <c r="C1237" s="8" t="s">
        <v>944</v>
      </c>
      <c r="D1237" s="8" t="s">
        <v>640</v>
      </c>
      <c r="E1237" s="39">
        <v>445000</v>
      </c>
      <c r="F1237" s="40" t="s">
        <v>1096</v>
      </c>
    </row>
    <row r="1238" spans="2:6" hidden="1">
      <c r="B1238" s="8">
        <v>1235</v>
      </c>
      <c r="C1238" s="8" t="s">
        <v>944</v>
      </c>
      <c r="D1238" s="8" t="s">
        <v>1464</v>
      </c>
      <c r="E1238" s="39">
        <v>239000</v>
      </c>
      <c r="F1238" s="40" t="s">
        <v>1096</v>
      </c>
    </row>
    <row r="1239" spans="2:6" hidden="1">
      <c r="B1239" s="8">
        <v>1236</v>
      </c>
      <c r="C1239" s="8" t="s">
        <v>1465</v>
      </c>
      <c r="D1239" s="8" t="s">
        <v>1466</v>
      </c>
      <c r="E1239" s="39">
        <v>188000</v>
      </c>
      <c r="F1239" s="40" t="s">
        <v>1096</v>
      </c>
    </row>
    <row r="1240" spans="2:6" hidden="1">
      <c r="B1240" s="8">
        <v>1237</v>
      </c>
      <c r="C1240" s="8" t="s">
        <v>1467</v>
      </c>
      <c r="D1240" s="8" t="s">
        <v>211</v>
      </c>
      <c r="E1240" s="39">
        <v>459000</v>
      </c>
      <c r="F1240" s="40" t="s">
        <v>1096</v>
      </c>
    </row>
    <row r="1241" spans="2:6" hidden="1">
      <c r="B1241" s="8">
        <v>1238</v>
      </c>
      <c r="C1241" s="8" t="s">
        <v>1468</v>
      </c>
      <c r="D1241" s="8" t="s">
        <v>1469</v>
      </c>
      <c r="E1241" s="39">
        <v>317000</v>
      </c>
      <c r="F1241" s="40" t="s">
        <v>1096</v>
      </c>
    </row>
    <row r="1242" spans="2:6" hidden="1">
      <c r="B1242" s="8">
        <v>1239</v>
      </c>
      <c r="C1242" s="8" t="s">
        <v>1470</v>
      </c>
      <c r="D1242" s="8" t="s">
        <v>1471</v>
      </c>
      <c r="E1242" s="39">
        <v>299000</v>
      </c>
      <c r="F1242" s="40" t="s">
        <v>1096</v>
      </c>
    </row>
    <row r="1243" spans="2:6" hidden="1">
      <c r="B1243" s="8">
        <v>1240</v>
      </c>
      <c r="C1243" s="8" t="s">
        <v>1472</v>
      </c>
      <c r="D1243" s="8" t="s">
        <v>1473</v>
      </c>
      <c r="E1243" s="39">
        <v>53000</v>
      </c>
      <c r="F1243" s="40" t="s">
        <v>1096</v>
      </c>
    </row>
    <row r="1244" spans="2:6" hidden="1">
      <c r="B1244" s="8">
        <v>1241</v>
      </c>
      <c r="C1244" s="8" t="s">
        <v>948</v>
      </c>
      <c r="D1244" s="8" t="s">
        <v>217</v>
      </c>
      <c r="E1244" s="39">
        <v>2285000</v>
      </c>
      <c r="F1244" s="40" t="s">
        <v>1096</v>
      </c>
    </row>
    <row r="1245" spans="2:6" hidden="1">
      <c r="B1245" s="8">
        <v>1242</v>
      </c>
      <c r="C1245" s="8" t="s">
        <v>952</v>
      </c>
      <c r="D1245" s="8" t="s">
        <v>1474</v>
      </c>
      <c r="E1245" s="39">
        <v>154000</v>
      </c>
      <c r="F1245" s="40" t="s">
        <v>1096</v>
      </c>
    </row>
    <row r="1246" spans="2:6" hidden="1">
      <c r="B1246" s="8">
        <v>1243</v>
      </c>
      <c r="C1246" s="8" t="s">
        <v>955</v>
      </c>
      <c r="D1246" s="8" t="s">
        <v>317</v>
      </c>
      <c r="E1246" s="39">
        <v>286000</v>
      </c>
      <c r="F1246" s="40" t="s">
        <v>1096</v>
      </c>
    </row>
    <row r="1247" spans="2:6" hidden="1">
      <c r="B1247" s="8">
        <v>1244</v>
      </c>
      <c r="C1247" s="8" t="s">
        <v>955</v>
      </c>
      <c r="D1247" s="8" t="s">
        <v>1475</v>
      </c>
      <c r="E1247" s="39">
        <v>3799000</v>
      </c>
      <c r="F1247" s="40" t="s">
        <v>1096</v>
      </c>
    </row>
    <row r="1248" spans="2:6" hidden="1">
      <c r="B1248" s="8">
        <v>1245</v>
      </c>
      <c r="C1248" s="8" t="s">
        <v>955</v>
      </c>
      <c r="D1248" s="8" t="s">
        <v>1476</v>
      </c>
      <c r="E1248" s="39">
        <v>202000</v>
      </c>
      <c r="F1248" s="40" t="s">
        <v>1096</v>
      </c>
    </row>
    <row r="1249" spans="2:6" hidden="1">
      <c r="B1249" s="8">
        <v>1246</v>
      </c>
      <c r="C1249" s="8" t="s">
        <v>1477</v>
      </c>
      <c r="D1249" s="8" t="s">
        <v>1478</v>
      </c>
      <c r="E1249" s="39">
        <v>159000</v>
      </c>
      <c r="F1249" s="40" t="s">
        <v>1096</v>
      </c>
    </row>
    <row r="1250" spans="2:6" hidden="1">
      <c r="B1250" s="8">
        <v>1247</v>
      </c>
      <c r="C1250" s="8" t="s">
        <v>1479</v>
      </c>
      <c r="D1250" s="8" t="s">
        <v>534</v>
      </c>
      <c r="E1250" s="39">
        <v>167000</v>
      </c>
      <c r="F1250" s="40" t="s">
        <v>1096</v>
      </c>
    </row>
    <row r="1251" spans="2:6" hidden="1">
      <c r="B1251" s="8">
        <v>1248</v>
      </c>
      <c r="C1251" s="8" t="s">
        <v>962</v>
      </c>
      <c r="D1251" s="8" t="s">
        <v>211</v>
      </c>
      <c r="E1251" s="39">
        <v>180000</v>
      </c>
      <c r="F1251" s="40" t="s">
        <v>1096</v>
      </c>
    </row>
    <row r="1252" spans="2:6" hidden="1">
      <c r="B1252" s="8">
        <v>1249</v>
      </c>
      <c r="C1252" s="8" t="s">
        <v>966</v>
      </c>
      <c r="D1252" s="8" t="s">
        <v>909</v>
      </c>
      <c r="E1252" s="39">
        <v>190000</v>
      </c>
      <c r="F1252" s="40" t="s">
        <v>1096</v>
      </c>
    </row>
    <row r="1253" spans="2:6" hidden="1">
      <c r="B1253" s="8">
        <v>1250</v>
      </c>
      <c r="C1253" s="8" t="s">
        <v>969</v>
      </c>
      <c r="D1253" s="8" t="s">
        <v>1480</v>
      </c>
      <c r="E1253" s="39">
        <v>246000</v>
      </c>
      <c r="F1253" s="40" t="s">
        <v>1096</v>
      </c>
    </row>
    <row r="1254" spans="2:6" hidden="1">
      <c r="B1254" s="8">
        <v>1251</v>
      </c>
      <c r="C1254" s="8" t="s">
        <v>969</v>
      </c>
      <c r="D1254" s="8" t="s">
        <v>1102</v>
      </c>
      <c r="E1254" s="39">
        <v>648000</v>
      </c>
      <c r="F1254" s="40" t="s">
        <v>1096</v>
      </c>
    </row>
    <row r="1255" spans="2:6" hidden="1">
      <c r="B1255" s="8">
        <v>1252</v>
      </c>
      <c r="C1255" s="8" t="s">
        <v>972</v>
      </c>
      <c r="D1255" s="8" t="s">
        <v>1481</v>
      </c>
      <c r="E1255" s="39">
        <v>729000</v>
      </c>
      <c r="F1255" s="40" t="s">
        <v>1096</v>
      </c>
    </row>
    <row r="1256" spans="2:6" hidden="1">
      <c r="B1256" s="8">
        <v>1253</v>
      </c>
      <c r="C1256" s="8" t="s">
        <v>974</v>
      </c>
      <c r="D1256" s="8" t="s">
        <v>1416</v>
      </c>
      <c r="E1256" s="39">
        <v>89000</v>
      </c>
      <c r="F1256" s="40" t="s">
        <v>1096</v>
      </c>
    </row>
    <row r="1257" spans="2:6" hidden="1">
      <c r="B1257" s="8">
        <v>1254</v>
      </c>
      <c r="C1257" s="8" t="s">
        <v>974</v>
      </c>
      <c r="D1257" s="8" t="s">
        <v>1482</v>
      </c>
      <c r="E1257" s="39">
        <v>679000</v>
      </c>
      <c r="F1257" s="40" t="s">
        <v>1096</v>
      </c>
    </row>
    <row r="1258" spans="2:6" hidden="1">
      <c r="B1258" s="8">
        <v>1255</v>
      </c>
      <c r="C1258" s="8" t="s">
        <v>1483</v>
      </c>
      <c r="D1258" s="8" t="s">
        <v>1484</v>
      </c>
      <c r="E1258" s="39">
        <v>90000</v>
      </c>
      <c r="F1258" s="40" t="s">
        <v>1096</v>
      </c>
    </row>
    <row r="1259" spans="2:6" hidden="1">
      <c r="B1259" s="8">
        <v>1256</v>
      </c>
      <c r="C1259" s="8" t="s">
        <v>979</v>
      </c>
      <c r="D1259" s="8" t="s">
        <v>1485</v>
      </c>
      <c r="E1259" s="39">
        <v>778000</v>
      </c>
      <c r="F1259" s="40" t="s">
        <v>1096</v>
      </c>
    </row>
    <row r="1260" spans="2:6" hidden="1">
      <c r="B1260" s="8">
        <v>1257</v>
      </c>
      <c r="C1260" s="8" t="s">
        <v>979</v>
      </c>
      <c r="D1260" s="8" t="s">
        <v>1274</v>
      </c>
      <c r="E1260" s="39">
        <v>670000</v>
      </c>
      <c r="F1260" s="40" t="s">
        <v>1096</v>
      </c>
    </row>
    <row r="1261" spans="2:6" hidden="1">
      <c r="B1261" s="8">
        <v>1258</v>
      </c>
      <c r="C1261" s="8" t="s">
        <v>979</v>
      </c>
      <c r="D1261" s="8" t="s">
        <v>1194</v>
      </c>
      <c r="E1261" s="39">
        <v>130000</v>
      </c>
      <c r="F1261" s="40" t="s">
        <v>1096</v>
      </c>
    </row>
    <row r="1262" spans="2:6" hidden="1">
      <c r="B1262" s="8">
        <v>1259</v>
      </c>
      <c r="C1262" s="8" t="s">
        <v>979</v>
      </c>
      <c r="D1262" s="8" t="s">
        <v>1339</v>
      </c>
      <c r="E1262" s="39">
        <v>318000</v>
      </c>
      <c r="F1262" s="40" t="s">
        <v>1096</v>
      </c>
    </row>
    <row r="1263" spans="2:6" hidden="1">
      <c r="B1263" s="8">
        <v>1260</v>
      </c>
      <c r="C1263" s="8" t="s">
        <v>979</v>
      </c>
      <c r="D1263" s="8" t="s">
        <v>217</v>
      </c>
      <c r="E1263" s="39">
        <v>1340000</v>
      </c>
      <c r="F1263" s="40" t="s">
        <v>1096</v>
      </c>
    </row>
    <row r="1264" spans="2:6" hidden="1">
      <c r="B1264" s="8">
        <v>1261</v>
      </c>
      <c r="C1264" s="8" t="s">
        <v>984</v>
      </c>
      <c r="D1264" s="8" t="s">
        <v>1486</v>
      </c>
      <c r="E1264" s="39">
        <v>166000</v>
      </c>
      <c r="F1264" s="40" t="s">
        <v>1096</v>
      </c>
    </row>
    <row r="1265" spans="2:6" hidden="1">
      <c r="B1265" s="8">
        <v>1262</v>
      </c>
      <c r="C1265" s="8" t="s">
        <v>986</v>
      </c>
      <c r="D1265" s="8" t="s">
        <v>1487</v>
      </c>
      <c r="E1265" s="39">
        <v>141000</v>
      </c>
      <c r="F1265" s="40" t="s">
        <v>1096</v>
      </c>
    </row>
    <row r="1266" spans="2:6" hidden="1">
      <c r="B1266" s="8">
        <v>1263</v>
      </c>
      <c r="C1266" s="8" t="s">
        <v>986</v>
      </c>
      <c r="D1266" s="8" t="s">
        <v>1271</v>
      </c>
      <c r="E1266" s="39">
        <v>341000</v>
      </c>
      <c r="F1266" s="40" t="s">
        <v>1096</v>
      </c>
    </row>
    <row r="1267" spans="2:6" hidden="1">
      <c r="B1267" s="8">
        <v>1264</v>
      </c>
      <c r="C1267" s="8" t="s">
        <v>986</v>
      </c>
      <c r="D1267" s="8" t="s">
        <v>808</v>
      </c>
      <c r="E1267" s="39">
        <v>111000</v>
      </c>
      <c r="F1267" s="40" t="s">
        <v>1096</v>
      </c>
    </row>
    <row r="1268" spans="2:6" hidden="1">
      <c r="B1268" s="8">
        <v>1265</v>
      </c>
      <c r="C1268" s="8" t="s">
        <v>989</v>
      </c>
      <c r="D1268" s="8" t="s">
        <v>1488</v>
      </c>
      <c r="E1268" s="39">
        <v>183000</v>
      </c>
      <c r="F1268" s="40" t="s">
        <v>1096</v>
      </c>
    </row>
    <row r="1269" spans="2:6" hidden="1">
      <c r="B1269" s="8">
        <v>1266</v>
      </c>
      <c r="C1269" s="8" t="s">
        <v>990</v>
      </c>
      <c r="D1269" s="8" t="s">
        <v>1489</v>
      </c>
      <c r="E1269" s="39">
        <v>907000</v>
      </c>
      <c r="F1269" s="40" t="s">
        <v>1096</v>
      </c>
    </row>
    <row r="1270" spans="2:6" hidden="1">
      <c r="B1270" s="8">
        <v>1267</v>
      </c>
      <c r="C1270" s="8" t="s">
        <v>990</v>
      </c>
      <c r="D1270" s="8" t="s">
        <v>345</v>
      </c>
      <c r="E1270" s="39">
        <v>555000</v>
      </c>
      <c r="F1270" s="40" t="s">
        <v>1096</v>
      </c>
    </row>
    <row r="1271" spans="2:6" hidden="1">
      <c r="B1271" s="8">
        <v>1268</v>
      </c>
      <c r="C1271" s="8" t="s">
        <v>1490</v>
      </c>
      <c r="D1271" s="8" t="s">
        <v>1491</v>
      </c>
      <c r="E1271" s="39">
        <v>579000</v>
      </c>
      <c r="F1271" s="40" t="s">
        <v>1096</v>
      </c>
    </row>
    <row r="1272" spans="2:6" hidden="1">
      <c r="B1272" s="8">
        <v>1269</v>
      </c>
      <c r="C1272" s="8" t="s">
        <v>1492</v>
      </c>
      <c r="D1272" s="8" t="s">
        <v>1493</v>
      </c>
      <c r="E1272" s="39">
        <v>3010000</v>
      </c>
      <c r="F1272" s="40" t="s">
        <v>1096</v>
      </c>
    </row>
    <row r="1273" spans="2:6" hidden="1">
      <c r="B1273" s="8">
        <v>1270</v>
      </c>
      <c r="C1273" s="8" t="s">
        <v>1492</v>
      </c>
      <c r="D1273" s="8" t="s">
        <v>608</v>
      </c>
      <c r="E1273" s="39">
        <v>181000</v>
      </c>
      <c r="F1273" s="40" t="s">
        <v>1096</v>
      </c>
    </row>
    <row r="1274" spans="2:6" hidden="1">
      <c r="B1274" s="8">
        <v>1271</v>
      </c>
      <c r="C1274" s="8" t="s">
        <v>996</v>
      </c>
      <c r="D1274" s="8" t="s">
        <v>1494</v>
      </c>
      <c r="E1274" s="39">
        <v>77000</v>
      </c>
      <c r="F1274" s="40" t="s">
        <v>1096</v>
      </c>
    </row>
    <row r="1275" spans="2:6" hidden="1">
      <c r="B1275" s="8">
        <v>1272</v>
      </c>
      <c r="C1275" s="8" t="s">
        <v>996</v>
      </c>
      <c r="D1275" s="8" t="s">
        <v>1495</v>
      </c>
      <c r="E1275" s="39">
        <v>211000</v>
      </c>
      <c r="F1275" s="40" t="s">
        <v>1096</v>
      </c>
    </row>
    <row r="1276" spans="2:6" hidden="1">
      <c r="B1276" s="8">
        <v>1273</v>
      </c>
      <c r="C1276" s="8" t="s">
        <v>996</v>
      </c>
      <c r="D1276" s="8" t="s">
        <v>1136</v>
      </c>
      <c r="E1276" s="39">
        <v>84000</v>
      </c>
      <c r="F1276" s="40" t="s">
        <v>1096</v>
      </c>
    </row>
    <row r="1277" spans="2:6" hidden="1">
      <c r="B1277" s="8">
        <v>1274</v>
      </c>
      <c r="C1277" s="8" t="s">
        <v>1003</v>
      </c>
      <c r="D1277" s="8" t="s">
        <v>211</v>
      </c>
      <c r="E1277" s="39">
        <v>153000</v>
      </c>
      <c r="F1277" s="40" t="s">
        <v>1096</v>
      </c>
    </row>
    <row r="1278" spans="2:6" hidden="1">
      <c r="B1278" s="8">
        <v>1275</v>
      </c>
      <c r="C1278" s="8" t="s">
        <v>1006</v>
      </c>
      <c r="D1278" s="8" t="s">
        <v>1496</v>
      </c>
      <c r="E1278" s="39">
        <v>159000</v>
      </c>
      <c r="F1278" s="40" t="s">
        <v>1096</v>
      </c>
    </row>
    <row r="1279" spans="2:6" hidden="1">
      <c r="B1279" s="8">
        <v>1276</v>
      </c>
      <c r="C1279" s="8" t="s">
        <v>1497</v>
      </c>
      <c r="D1279" s="8" t="s">
        <v>1498</v>
      </c>
      <c r="E1279" s="39">
        <v>142000</v>
      </c>
      <c r="F1279" s="40" t="s">
        <v>1096</v>
      </c>
    </row>
    <row r="1280" spans="2:6" hidden="1">
      <c r="B1280" s="8">
        <v>1277</v>
      </c>
      <c r="C1280" s="8" t="s">
        <v>1009</v>
      </c>
      <c r="D1280" s="8" t="s">
        <v>1499</v>
      </c>
      <c r="E1280" s="39">
        <v>179000</v>
      </c>
      <c r="F1280" s="40" t="s">
        <v>1096</v>
      </c>
    </row>
    <row r="1281" spans="2:6" hidden="1">
      <c r="B1281" s="8">
        <v>1278</v>
      </c>
      <c r="C1281" s="8" t="s">
        <v>1009</v>
      </c>
      <c r="D1281" s="8" t="s">
        <v>814</v>
      </c>
      <c r="E1281" s="39">
        <v>198000</v>
      </c>
      <c r="F1281" s="40" t="s">
        <v>1096</v>
      </c>
    </row>
    <row r="1282" spans="2:6" hidden="1">
      <c r="B1282" s="8">
        <v>1279</v>
      </c>
      <c r="C1282" s="8" t="s">
        <v>1500</v>
      </c>
      <c r="D1282" s="8" t="s">
        <v>688</v>
      </c>
      <c r="E1282" s="39">
        <v>663000</v>
      </c>
      <c r="F1282" s="40" t="s">
        <v>1096</v>
      </c>
    </row>
    <row r="1283" spans="2:6" hidden="1">
      <c r="B1283" s="8">
        <v>1280</v>
      </c>
      <c r="C1283" s="8" t="s">
        <v>1501</v>
      </c>
      <c r="D1283" s="8" t="s">
        <v>1502</v>
      </c>
      <c r="E1283" s="39">
        <v>366000</v>
      </c>
      <c r="F1283" s="40" t="s">
        <v>1096</v>
      </c>
    </row>
    <row r="1284" spans="2:6" hidden="1">
      <c r="B1284" s="8">
        <v>1281</v>
      </c>
      <c r="C1284" s="8" t="s">
        <v>1503</v>
      </c>
      <c r="D1284" s="8" t="s">
        <v>1250</v>
      </c>
      <c r="E1284" s="39">
        <v>394000</v>
      </c>
      <c r="F1284" s="40" t="s">
        <v>1096</v>
      </c>
    </row>
    <row r="1285" spans="2:6" hidden="1">
      <c r="B1285" s="8">
        <v>1282</v>
      </c>
      <c r="C1285" s="8" t="s">
        <v>1504</v>
      </c>
      <c r="D1285" s="8" t="s">
        <v>1505</v>
      </c>
      <c r="E1285" s="39">
        <v>154000</v>
      </c>
      <c r="F1285" s="40" t="s">
        <v>1096</v>
      </c>
    </row>
    <row r="1286" spans="2:6" hidden="1">
      <c r="B1286" s="8">
        <v>1283</v>
      </c>
      <c r="C1286" s="8" t="s">
        <v>1023</v>
      </c>
      <c r="D1286" s="8" t="s">
        <v>211</v>
      </c>
      <c r="E1286" s="39">
        <v>53000</v>
      </c>
      <c r="F1286" s="40" t="s">
        <v>1096</v>
      </c>
    </row>
    <row r="1287" spans="2:6" hidden="1">
      <c r="B1287" s="8">
        <v>1284</v>
      </c>
      <c r="C1287" s="8" t="s">
        <v>1023</v>
      </c>
      <c r="D1287" s="8" t="s">
        <v>534</v>
      </c>
      <c r="E1287" s="39">
        <v>122000</v>
      </c>
      <c r="F1287" s="40" t="s">
        <v>1096</v>
      </c>
    </row>
    <row r="1288" spans="2:6" hidden="1">
      <c r="B1288" s="8">
        <v>1285</v>
      </c>
      <c r="C1288" s="8" t="s">
        <v>1031</v>
      </c>
      <c r="D1288" s="8" t="s">
        <v>890</v>
      </c>
      <c r="E1288" s="39">
        <v>477000</v>
      </c>
      <c r="F1288" s="40" t="s">
        <v>1096</v>
      </c>
    </row>
    <row r="1289" spans="2:6" hidden="1">
      <c r="B1289" s="8">
        <v>1286</v>
      </c>
      <c r="C1289" s="8" t="s">
        <v>1033</v>
      </c>
      <c r="D1289" s="8" t="s">
        <v>345</v>
      </c>
      <c r="E1289" s="39">
        <v>494000</v>
      </c>
      <c r="F1289" s="40" t="s">
        <v>1096</v>
      </c>
    </row>
    <row r="1290" spans="2:6" hidden="1">
      <c r="B1290" s="8">
        <v>1287</v>
      </c>
      <c r="C1290" s="8" t="s">
        <v>1033</v>
      </c>
      <c r="D1290" s="8" t="s">
        <v>1300</v>
      </c>
      <c r="E1290" s="39">
        <v>169000</v>
      </c>
      <c r="F1290" s="40" t="s">
        <v>1096</v>
      </c>
    </row>
    <row r="1291" spans="2:6" hidden="1">
      <c r="B1291" s="8">
        <v>1288</v>
      </c>
      <c r="C1291" s="8" t="s">
        <v>1506</v>
      </c>
      <c r="D1291" s="8" t="s">
        <v>534</v>
      </c>
      <c r="E1291" s="39">
        <v>53000</v>
      </c>
      <c r="F1291" s="40" t="s">
        <v>1096</v>
      </c>
    </row>
    <row r="1292" spans="2:6" hidden="1">
      <c r="B1292" s="8">
        <v>1289</v>
      </c>
      <c r="C1292" s="8" t="s">
        <v>1507</v>
      </c>
      <c r="D1292" s="8" t="s">
        <v>1508</v>
      </c>
      <c r="E1292" s="39">
        <v>554000</v>
      </c>
      <c r="F1292" s="40" t="s">
        <v>1096</v>
      </c>
    </row>
    <row r="1293" spans="2:6" hidden="1">
      <c r="B1293" s="8">
        <v>1290</v>
      </c>
      <c r="C1293" s="8" t="s">
        <v>1039</v>
      </c>
      <c r="D1293" s="8" t="s">
        <v>1509</v>
      </c>
      <c r="E1293" s="39">
        <v>85000</v>
      </c>
      <c r="F1293" s="40" t="s">
        <v>1096</v>
      </c>
    </row>
    <row r="1294" spans="2:6" hidden="1">
      <c r="B1294" s="8">
        <v>1291</v>
      </c>
      <c r="C1294" s="8" t="s">
        <v>1039</v>
      </c>
      <c r="D1294" s="8" t="s">
        <v>1510</v>
      </c>
      <c r="E1294" s="39">
        <v>53000</v>
      </c>
      <c r="F1294" s="40" t="s">
        <v>1096</v>
      </c>
    </row>
    <row r="1295" spans="2:6" hidden="1">
      <c r="B1295" s="8">
        <v>1292</v>
      </c>
      <c r="C1295" s="8" t="s">
        <v>1511</v>
      </c>
      <c r="D1295" s="8" t="s">
        <v>1512</v>
      </c>
      <c r="E1295" s="39">
        <v>154000</v>
      </c>
      <c r="F1295" s="40" t="s">
        <v>1096</v>
      </c>
    </row>
    <row r="1296" spans="2:6" hidden="1">
      <c r="B1296" s="8">
        <v>1293</v>
      </c>
      <c r="C1296" s="8" t="s">
        <v>1511</v>
      </c>
      <c r="D1296" s="8" t="s">
        <v>608</v>
      </c>
      <c r="E1296" s="39">
        <v>154000</v>
      </c>
      <c r="F1296" s="40" t="s">
        <v>1096</v>
      </c>
    </row>
    <row r="1297" spans="2:6" hidden="1">
      <c r="B1297" s="8">
        <v>1294</v>
      </c>
      <c r="C1297" s="8" t="s">
        <v>1511</v>
      </c>
      <c r="D1297" s="8" t="s">
        <v>791</v>
      </c>
      <c r="E1297" s="39">
        <v>310000</v>
      </c>
      <c r="F1297" s="40" t="s">
        <v>1096</v>
      </c>
    </row>
    <row r="1298" spans="2:6" hidden="1">
      <c r="B1298" s="8">
        <v>1295</v>
      </c>
      <c r="C1298" s="8" t="s">
        <v>1513</v>
      </c>
      <c r="D1298" s="8" t="s">
        <v>345</v>
      </c>
      <c r="E1298" s="39">
        <v>468000</v>
      </c>
      <c r="F1298" s="40" t="s">
        <v>1096</v>
      </c>
    </row>
    <row r="1299" spans="2:6" hidden="1">
      <c r="B1299" s="8">
        <v>1296</v>
      </c>
      <c r="C1299" s="8" t="s">
        <v>1514</v>
      </c>
      <c r="D1299" s="8" t="s">
        <v>405</v>
      </c>
      <c r="E1299" s="39">
        <v>203000</v>
      </c>
      <c r="F1299" s="40" t="s">
        <v>1096</v>
      </c>
    </row>
    <row r="1300" spans="2:6" hidden="1">
      <c r="B1300" s="8">
        <v>1297</v>
      </c>
      <c r="C1300" s="8" t="s">
        <v>1043</v>
      </c>
      <c r="D1300" s="8" t="s">
        <v>573</v>
      </c>
      <c r="E1300" s="39">
        <v>63000</v>
      </c>
      <c r="F1300" s="40" t="s">
        <v>1096</v>
      </c>
    </row>
    <row r="1301" spans="2:6" hidden="1">
      <c r="B1301" s="8">
        <v>1298</v>
      </c>
      <c r="C1301" s="8" t="s">
        <v>1043</v>
      </c>
      <c r="D1301" s="8" t="s">
        <v>317</v>
      </c>
      <c r="E1301" s="39">
        <v>111000</v>
      </c>
      <c r="F1301" s="40" t="s">
        <v>1096</v>
      </c>
    </row>
    <row r="1302" spans="2:6" hidden="1">
      <c r="B1302" s="8">
        <v>1299</v>
      </c>
      <c r="C1302" s="8" t="s">
        <v>1043</v>
      </c>
      <c r="D1302" s="8" t="s">
        <v>552</v>
      </c>
      <c r="E1302" s="39">
        <v>160000</v>
      </c>
      <c r="F1302" s="40" t="s">
        <v>1096</v>
      </c>
    </row>
    <row r="1303" spans="2:6" hidden="1">
      <c r="B1303" s="8">
        <v>1300</v>
      </c>
      <c r="C1303" s="8" t="s">
        <v>1043</v>
      </c>
      <c r="D1303" s="8" t="s">
        <v>199</v>
      </c>
      <c r="E1303" s="39">
        <v>310000</v>
      </c>
      <c r="F1303" s="40" t="s">
        <v>1096</v>
      </c>
    </row>
    <row r="1304" spans="2:6" hidden="1">
      <c r="B1304" s="8">
        <v>1301</v>
      </c>
      <c r="C1304" s="8" t="s">
        <v>1515</v>
      </c>
      <c r="D1304" s="8" t="s">
        <v>1516</v>
      </c>
      <c r="E1304" s="39">
        <v>87000</v>
      </c>
      <c r="F1304" s="40" t="s">
        <v>1096</v>
      </c>
    </row>
    <row r="1305" spans="2:6" hidden="1">
      <c r="B1305" s="8">
        <v>1302</v>
      </c>
      <c r="C1305" s="8" t="s">
        <v>1517</v>
      </c>
      <c r="D1305" s="8" t="s">
        <v>1518</v>
      </c>
      <c r="E1305" s="39">
        <v>123000</v>
      </c>
      <c r="F1305" s="40" t="s">
        <v>1096</v>
      </c>
    </row>
    <row r="1306" spans="2:6" hidden="1">
      <c r="B1306" s="8">
        <v>1303</v>
      </c>
      <c r="C1306" s="8" t="s">
        <v>1519</v>
      </c>
      <c r="D1306" s="8" t="s">
        <v>1520</v>
      </c>
      <c r="E1306" s="39">
        <v>691000</v>
      </c>
      <c r="F1306" s="40" t="s">
        <v>1096</v>
      </c>
    </row>
    <row r="1307" spans="2:6" hidden="1">
      <c r="B1307" s="8">
        <v>1304</v>
      </c>
      <c r="C1307" s="8" t="s">
        <v>1521</v>
      </c>
      <c r="D1307" s="8" t="s">
        <v>1522</v>
      </c>
      <c r="E1307" s="39">
        <v>187000</v>
      </c>
      <c r="F1307" s="40" t="s">
        <v>1096</v>
      </c>
    </row>
    <row r="1308" spans="2:6" hidden="1">
      <c r="B1308" s="8">
        <v>1305</v>
      </c>
      <c r="C1308" s="8" t="s">
        <v>1521</v>
      </c>
      <c r="D1308" s="8" t="s">
        <v>1484</v>
      </c>
      <c r="E1308" s="39">
        <v>154000</v>
      </c>
      <c r="F1308" s="40" t="s">
        <v>1096</v>
      </c>
    </row>
    <row r="1309" spans="2:6" hidden="1">
      <c r="B1309" s="8">
        <v>1306</v>
      </c>
      <c r="C1309" s="8" t="s">
        <v>1523</v>
      </c>
      <c r="D1309" s="8" t="s">
        <v>211</v>
      </c>
      <c r="E1309" s="39">
        <v>305000</v>
      </c>
      <c r="F1309" s="40" t="s">
        <v>1096</v>
      </c>
    </row>
    <row r="1310" spans="2:6" hidden="1">
      <c r="B1310" s="8">
        <v>1307</v>
      </c>
      <c r="C1310" s="8" t="s">
        <v>1523</v>
      </c>
      <c r="D1310" s="8" t="s">
        <v>769</v>
      </c>
      <c r="E1310" s="39">
        <v>84000</v>
      </c>
      <c r="F1310" s="40" t="s">
        <v>1096</v>
      </c>
    </row>
    <row r="1311" spans="2:6" hidden="1">
      <c r="B1311" s="8">
        <v>1308</v>
      </c>
      <c r="C1311" s="8" t="s">
        <v>1048</v>
      </c>
      <c r="D1311" s="8" t="s">
        <v>1524</v>
      </c>
      <c r="E1311" s="39">
        <v>84000</v>
      </c>
      <c r="F1311" s="40" t="s">
        <v>1096</v>
      </c>
    </row>
    <row r="1312" spans="2:6" hidden="1">
      <c r="B1312" s="8">
        <v>1309</v>
      </c>
      <c r="C1312" s="8" t="s">
        <v>1049</v>
      </c>
      <c r="D1312" s="8" t="s">
        <v>775</v>
      </c>
      <c r="E1312" s="39">
        <v>53000</v>
      </c>
      <c r="F1312" s="40" t="s">
        <v>1096</v>
      </c>
    </row>
    <row r="1313" spans="2:6" hidden="1">
      <c r="B1313" s="8">
        <v>1310</v>
      </c>
      <c r="C1313" s="8" t="s">
        <v>1525</v>
      </c>
      <c r="D1313" s="8" t="s">
        <v>1526</v>
      </c>
      <c r="E1313" s="39">
        <v>62000</v>
      </c>
      <c r="F1313" s="40" t="s">
        <v>1096</v>
      </c>
    </row>
    <row r="1314" spans="2:6" hidden="1">
      <c r="B1314" s="8">
        <v>1311</v>
      </c>
      <c r="C1314" s="8" t="s">
        <v>1527</v>
      </c>
      <c r="D1314" s="8" t="s">
        <v>1528</v>
      </c>
      <c r="E1314" s="39">
        <v>53000</v>
      </c>
      <c r="F1314" s="40" t="s">
        <v>1096</v>
      </c>
    </row>
    <row r="1315" spans="2:6" hidden="1">
      <c r="B1315" s="8">
        <v>1312</v>
      </c>
      <c r="C1315" s="8" t="s">
        <v>1529</v>
      </c>
      <c r="D1315" s="8" t="s">
        <v>1524</v>
      </c>
      <c r="E1315" s="39">
        <v>284000</v>
      </c>
      <c r="F1315" s="40" t="s">
        <v>1096</v>
      </c>
    </row>
    <row r="1316" spans="2:6" hidden="1">
      <c r="B1316" s="8">
        <v>1313</v>
      </c>
      <c r="C1316" s="8" t="s">
        <v>1054</v>
      </c>
      <c r="D1316" s="8" t="s">
        <v>198</v>
      </c>
      <c r="E1316" s="39">
        <v>466000</v>
      </c>
      <c r="F1316" s="40" t="s">
        <v>1096</v>
      </c>
    </row>
    <row r="1317" spans="2:6" hidden="1">
      <c r="B1317" s="8">
        <v>1314</v>
      </c>
      <c r="C1317" s="8" t="s">
        <v>1054</v>
      </c>
      <c r="D1317" s="8" t="s">
        <v>211</v>
      </c>
      <c r="E1317" s="39">
        <v>346000</v>
      </c>
      <c r="F1317" s="40" t="s">
        <v>1096</v>
      </c>
    </row>
    <row r="1318" spans="2:6" hidden="1">
      <c r="B1318" s="8">
        <v>1315</v>
      </c>
      <c r="C1318" s="8" t="s">
        <v>1054</v>
      </c>
      <c r="D1318" s="8" t="s">
        <v>199</v>
      </c>
      <c r="E1318" s="39">
        <v>462000</v>
      </c>
      <c r="F1318" s="40" t="s">
        <v>1096</v>
      </c>
    </row>
    <row r="1319" spans="2:6" hidden="1">
      <c r="B1319" s="8">
        <v>1316</v>
      </c>
      <c r="C1319" s="8" t="s">
        <v>1530</v>
      </c>
      <c r="D1319" s="8" t="s">
        <v>1531</v>
      </c>
      <c r="E1319" s="39">
        <v>375000</v>
      </c>
      <c r="F1319" s="40" t="s">
        <v>1096</v>
      </c>
    </row>
    <row r="1320" spans="2:6" hidden="1">
      <c r="B1320" s="8">
        <v>1317</v>
      </c>
      <c r="C1320" s="8" t="s">
        <v>1530</v>
      </c>
      <c r="D1320" s="8" t="s">
        <v>211</v>
      </c>
      <c r="E1320" s="39">
        <v>53000</v>
      </c>
      <c r="F1320" s="40" t="s">
        <v>1096</v>
      </c>
    </row>
    <row r="1321" spans="2:6" hidden="1">
      <c r="B1321" s="8">
        <v>1318</v>
      </c>
      <c r="C1321" s="8" t="s">
        <v>1532</v>
      </c>
      <c r="D1321" s="8" t="s">
        <v>211</v>
      </c>
      <c r="E1321" s="39">
        <v>79000</v>
      </c>
      <c r="F1321" s="40" t="s">
        <v>1096</v>
      </c>
    </row>
    <row r="1322" spans="2:6" hidden="1">
      <c r="B1322" s="8">
        <v>1319</v>
      </c>
      <c r="C1322" s="8" t="s">
        <v>1533</v>
      </c>
      <c r="D1322" s="8" t="s">
        <v>211</v>
      </c>
      <c r="E1322" s="39">
        <v>223000</v>
      </c>
      <c r="F1322" s="40" t="s">
        <v>1096</v>
      </c>
    </row>
    <row r="1323" spans="2:6" hidden="1">
      <c r="B1323" s="8">
        <v>1320</v>
      </c>
      <c r="C1323" s="8" t="s">
        <v>1534</v>
      </c>
      <c r="D1323" s="8" t="s">
        <v>1535</v>
      </c>
      <c r="E1323" s="39">
        <v>111000</v>
      </c>
      <c r="F1323" s="40" t="s">
        <v>1096</v>
      </c>
    </row>
    <row r="1324" spans="2:6" hidden="1">
      <c r="B1324" s="8">
        <v>1321</v>
      </c>
      <c r="C1324" s="8" t="s">
        <v>1534</v>
      </c>
      <c r="D1324" s="8" t="s">
        <v>769</v>
      </c>
      <c r="E1324" s="39">
        <v>131000</v>
      </c>
      <c r="F1324" s="40" t="s">
        <v>1096</v>
      </c>
    </row>
    <row r="1325" spans="2:6" hidden="1">
      <c r="B1325" s="8">
        <v>1322</v>
      </c>
      <c r="C1325" s="8" t="s">
        <v>1536</v>
      </c>
      <c r="D1325" s="8" t="s">
        <v>1537</v>
      </c>
      <c r="E1325" s="39">
        <v>291000</v>
      </c>
      <c r="F1325" s="40" t="s">
        <v>1096</v>
      </c>
    </row>
    <row r="1326" spans="2:6" hidden="1">
      <c r="B1326" s="8">
        <v>1323</v>
      </c>
      <c r="C1326" s="8" t="s">
        <v>1060</v>
      </c>
      <c r="D1326" s="8" t="s">
        <v>1538</v>
      </c>
      <c r="E1326" s="39">
        <v>114000</v>
      </c>
      <c r="F1326" s="40" t="s">
        <v>1096</v>
      </c>
    </row>
    <row r="1327" spans="2:6" hidden="1">
      <c r="B1327" s="8">
        <v>1324</v>
      </c>
      <c r="C1327" s="8" t="s">
        <v>1060</v>
      </c>
      <c r="D1327" s="8" t="s">
        <v>608</v>
      </c>
      <c r="E1327" s="39">
        <v>154000</v>
      </c>
      <c r="F1327" s="40" t="s">
        <v>1096</v>
      </c>
    </row>
    <row r="1328" spans="2:6" hidden="1">
      <c r="B1328" s="8">
        <v>1325</v>
      </c>
      <c r="C1328" s="8" t="s">
        <v>1060</v>
      </c>
      <c r="D1328" s="8" t="s">
        <v>935</v>
      </c>
      <c r="E1328" s="39">
        <v>53000</v>
      </c>
      <c r="F1328" s="40" t="s">
        <v>1096</v>
      </c>
    </row>
    <row r="1329" spans="2:6" hidden="1">
      <c r="B1329" s="8">
        <v>1326</v>
      </c>
      <c r="C1329" s="8" t="s">
        <v>1539</v>
      </c>
      <c r="D1329" s="8" t="s">
        <v>1540</v>
      </c>
      <c r="E1329" s="39">
        <v>147000</v>
      </c>
      <c r="F1329" s="40" t="s">
        <v>1096</v>
      </c>
    </row>
    <row r="1330" spans="2:6" hidden="1">
      <c r="B1330" s="8">
        <v>1327</v>
      </c>
      <c r="C1330" s="8" t="s">
        <v>1066</v>
      </c>
      <c r="D1330" s="8" t="s">
        <v>1541</v>
      </c>
      <c r="E1330" s="39">
        <v>129000</v>
      </c>
      <c r="F1330" s="40" t="s">
        <v>1096</v>
      </c>
    </row>
    <row r="1331" spans="2:6" hidden="1">
      <c r="B1331" s="8">
        <v>1328</v>
      </c>
      <c r="C1331" s="8" t="s">
        <v>1542</v>
      </c>
      <c r="D1331" s="8" t="s">
        <v>1543</v>
      </c>
      <c r="E1331" s="39">
        <v>160000</v>
      </c>
      <c r="F1331" s="40" t="s">
        <v>1096</v>
      </c>
    </row>
    <row r="1332" spans="2:6" hidden="1">
      <c r="B1332" s="8">
        <v>1329</v>
      </c>
      <c r="C1332" s="8" t="s">
        <v>1542</v>
      </c>
      <c r="D1332" s="8" t="s">
        <v>198</v>
      </c>
      <c r="E1332" s="39">
        <v>476000</v>
      </c>
      <c r="F1332" s="40" t="s">
        <v>1096</v>
      </c>
    </row>
    <row r="1333" spans="2:6" hidden="1">
      <c r="B1333" s="8">
        <v>1330</v>
      </c>
      <c r="C1333" s="8" t="s">
        <v>1544</v>
      </c>
      <c r="D1333" s="8" t="s">
        <v>291</v>
      </c>
      <c r="E1333" s="39">
        <v>221000</v>
      </c>
      <c r="F1333" s="40" t="s">
        <v>1096</v>
      </c>
    </row>
    <row r="1334" spans="2:6" hidden="1">
      <c r="B1334" s="8">
        <v>1331</v>
      </c>
      <c r="C1334" s="8" t="s">
        <v>1545</v>
      </c>
      <c r="D1334" s="8" t="s">
        <v>1546</v>
      </c>
      <c r="E1334" s="39">
        <v>84000</v>
      </c>
      <c r="F1334" s="40" t="s">
        <v>1096</v>
      </c>
    </row>
    <row r="1335" spans="2:6" hidden="1">
      <c r="B1335" s="8">
        <v>1332</v>
      </c>
      <c r="C1335" s="8" t="s">
        <v>1545</v>
      </c>
      <c r="D1335" s="8" t="s">
        <v>334</v>
      </c>
      <c r="E1335" s="39">
        <v>100000</v>
      </c>
      <c r="F1335" s="40" t="s">
        <v>1096</v>
      </c>
    </row>
    <row r="1336" spans="2:6" hidden="1">
      <c r="B1336" s="8">
        <v>1333</v>
      </c>
      <c r="C1336" s="8" t="s">
        <v>1547</v>
      </c>
      <c r="D1336" s="8" t="s">
        <v>1548</v>
      </c>
      <c r="E1336" s="39">
        <v>123000</v>
      </c>
      <c r="F1336" s="40" t="s">
        <v>1096</v>
      </c>
    </row>
    <row r="1337" spans="2:6" hidden="1">
      <c r="B1337" s="8">
        <v>1334</v>
      </c>
      <c r="C1337" s="8" t="s">
        <v>1549</v>
      </c>
      <c r="D1337" s="8" t="s">
        <v>204</v>
      </c>
      <c r="E1337" s="39">
        <v>172000</v>
      </c>
      <c r="F1337" s="40" t="s">
        <v>1096</v>
      </c>
    </row>
    <row r="1338" spans="2:6" hidden="1">
      <c r="B1338" s="8">
        <v>1335</v>
      </c>
      <c r="C1338" s="8" t="s">
        <v>1550</v>
      </c>
      <c r="D1338" s="8" t="s">
        <v>769</v>
      </c>
      <c r="E1338" s="39">
        <v>157000</v>
      </c>
      <c r="F1338" s="40" t="s">
        <v>1096</v>
      </c>
    </row>
    <row r="1339" spans="2:6" hidden="1">
      <c r="B1339" s="8">
        <v>1336</v>
      </c>
      <c r="C1339" s="8" t="s">
        <v>650</v>
      </c>
      <c r="D1339" s="8" t="s">
        <v>1551</v>
      </c>
      <c r="E1339" s="39">
        <v>7780000</v>
      </c>
      <c r="F1339" s="40" t="s">
        <v>1552</v>
      </c>
    </row>
    <row r="1340" spans="2:6" hidden="1">
      <c r="B1340" s="8">
        <v>1337</v>
      </c>
      <c r="C1340" s="8" t="s">
        <v>1083</v>
      </c>
      <c r="D1340" s="8" t="s">
        <v>1553</v>
      </c>
      <c r="E1340" s="39">
        <v>2310000</v>
      </c>
      <c r="F1340" s="40" t="s">
        <v>1552</v>
      </c>
    </row>
    <row r="1341" spans="2:6" hidden="1">
      <c r="B1341" s="8">
        <v>1338</v>
      </c>
      <c r="C1341" s="8" t="s">
        <v>1241</v>
      </c>
      <c r="D1341" s="8" t="s">
        <v>1554</v>
      </c>
      <c r="E1341" s="39">
        <v>760000</v>
      </c>
      <c r="F1341" s="40" t="s">
        <v>1552</v>
      </c>
    </row>
    <row r="1342" spans="2:6" hidden="1">
      <c r="B1342" s="8">
        <v>1339</v>
      </c>
      <c r="C1342" s="8" t="s">
        <v>194</v>
      </c>
      <c r="D1342" s="8" t="s">
        <v>569</v>
      </c>
      <c r="E1342" s="39">
        <v>66000</v>
      </c>
      <c r="F1342" s="40" t="s">
        <v>1552</v>
      </c>
    </row>
    <row r="1343" spans="2:6" hidden="1">
      <c r="B1343" s="8">
        <v>1340</v>
      </c>
      <c r="C1343" s="8" t="s">
        <v>197</v>
      </c>
      <c r="D1343" s="8" t="s">
        <v>256</v>
      </c>
      <c r="E1343" s="39">
        <v>195000</v>
      </c>
      <c r="F1343" s="40" t="s">
        <v>1552</v>
      </c>
    </row>
    <row r="1344" spans="2:6" hidden="1">
      <c r="B1344" s="8">
        <v>1341</v>
      </c>
      <c r="C1344" s="8" t="s">
        <v>1101</v>
      </c>
      <c r="D1344" s="8" t="s">
        <v>1555</v>
      </c>
      <c r="E1344" s="39">
        <v>169000</v>
      </c>
      <c r="F1344" s="40" t="s">
        <v>1552</v>
      </c>
    </row>
    <row r="1345" spans="2:6" hidden="1">
      <c r="B1345" s="8">
        <v>1342</v>
      </c>
      <c r="C1345" s="8" t="s">
        <v>1101</v>
      </c>
      <c r="D1345" s="8" t="s">
        <v>456</v>
      </c>
      <c r="E1345" s="39">
        <v>124000</v>
      </c>
      <c r="F1345" s="40" t="s">
        <v>1552</v>
      </c>
    </row>
    <row r="1346" spans="2:6" hidden="1">
      <c r="B1346" s="8">
        <v>1343</v>
      </c>
      <c r="C1346" s="8" t="s">
        <v>1101</v>
      </c>
      <c r="D1346" s="8" t="s">
        <v>456</v>
      </c>
      <c r="E1346" s="39">
        <v>530000</v>
      </c>
      <c r="F1346" s="40" t="s">
        <v>1552</v>
      </c>
    </row>
    <row r="1347" spans="2:6" hidden="1">
      <c r="B1347" s="8">
        <v>1344</v>
      </c>
      <c r="C1347" s="8" t="s">
        <v>1556</v>
      </c>
      <c r="D1347" s="8" t="s">
        <v>319</v>
      </c>
      <c r="E1347" s="39">
        <v>172000</v>
      </c>
      <c r="F1347" s="40" t="s">
        <v>1552</v>
      </c>
    </row>
    <row r="1348" spans="2:6" hidden="1">
      <c r="B1348" s="8">
        <v>1345</v>
      </c>
      <c r="C1348" s="8" t="s">
        <v>207</v>
      </c>
      <c r="D1348" s="8" t="s">
        <v>834</v>
      </c>
      <c r="E1348" s="39">
        <v>154000</v>
      </c>
      <c r="F1348" s="40" t="s">
        <v>1552</v>
      </c>
    </row>
    <row r="1349" spans="2:6" hidden="1">
      <c r="B1349" s="8">
        <v>1346</v>
      </c>
      <c r="C1349" s="8" t="s">
        <v>208</v>
      </c>
      <c r="D1349" s="8" t="s">
        <v>384</v>
      </c>
      <c r="E1349" s="39">
        <v>393000</v>
      </c>
      <c r="F1349" s="40" t="s">
        <v>1552</v>
      </c>
    </row>
    <row r="1350" spans="2:6" hidden="1">
      <c r="B1350" s="8">
        <v>1347</v>
      </c>
      <c r="C1350" s="8" t="s">
        <v>212</v>
      </c>
      <c r="D1350" s="8" t="s">
        <v>1232</v>
      </c>
      <c r="E1350" s="39">
        <v>672000</v>
      </c>
      <c r="F1350" s="40" t="s">
        <v>1552</v>
      </c>
    </row>
    <row r="1351" spans="2:6" hidden="1">
      <c r="B1351" s="8">
        <v>1348</v>
      </c>
      <c r="C1351" s="8" t="s">
        <v>214</v>
      </c>
      <c r="D1351" s="8" t="s">
        <v>1557</v>
      </c>
      <c r="E1351" s="39">
        <v>93000</v>
      </c>
      <c r="F1351" s="40" t="s">
        <v>1552</v>
      </c>
    </row>
    <row r="1352" spans="2:6" hidden="1">
      <c r="B1352" s="8">
        <v>1349</v>
      </c>
      <c r="C1352" s="8" t="s">
        <v>214</v>
      </c>
      <c r="D1352" s="8" t="s">
        <v>534</v>
      </c>
      <c r="E1352" s="39">
        <v>232000</v>
      </c>
      <c r="F1352" s="40" t="s">
        <v>1552</v>
      </c>
    </row>
    <row r="1353" spans="2:6" hidden="1">
      <c r="B1353" s="8">
        <v>1350</v>
      </c>
      <c r="C1353" s="8" t="s">
        <v>223</v>
      </c>
      <c r="D1353" s="8" t="s">
        <v>1250</v>
      </c>
      <c r="E1353" s="39">
        <v>103000</v>
      </c>
      <c r="F1353" s="40" t="s">
        <v>1552</v>
      </c>
    </row>
    <row r="1354" spans="2:6" hidden="1">
      <c r="B1354" s="8">
        <v>1351</v>
      </c>
      <c r="C1354" s="8" t="s">
        <v>1104</v>
      </c>
      <c r="D1354" s="8" t="s">
        <v>217</v>
      </c>
      <c r="E1354" s="39">
        <v>2304000</v>
      </c>
      <c r="F1354" s="40" t="s">
        <v>1552</v>
      </c>
    </row>
    <row r="1355" spans="2:6" hidden="1">
      <c r="B1355" s="8">
        <v>1352</v>
      </c>
      <c r="C1355" s="8" t="s">
        <v>1104</v>
      </c>
      <c r="D1355" s="8" t="s">
        <v>1558</v>
      </c>
      <c r="E1355" s="39">
        <v>453000</v>
      </c>
      <c r="F1355" s="40" t="s">
        <v>1552</v>
      </c>
    </row>
    <row r="1356" spans="2:6" hidden="1">
      <c r="B1356" s="8">
        <v>1353</v>
      </c>
      <c r="C1356" s="8" t="s">
        <v>1104</v>
      </c>
      <c r="D1356" s="8" t="s">
        <v>319</v>
      </c>
      <c r="E1356" s="39">
        <v>115000</v>
      </c>
      <c r="F1356" s="40" t="s">
        <v>1552</v>
      </c>
    </row>
    <row r="1357" spans="2:6" hidden="1">
      <c r="B1357" s="8">
        <v>1354</v>
      </c>
      <c r="C1357" s="8" t="s">
        <v>1105</v>
      </c>
      <c r="D1357" s="8" t="s">
        <v>1559</v>
      </c>
      <c r="E1357" s="39">
        <v>75000</v>
      </c>
      <c r="F1357" s="40" t="s">
        <v>1552</v>
      </c>
    </row>
    <row r="1358" spans="2:6" hidden="1">
      <c r="B1358" s="8">
        <v>1355</v>
      </c>
      <c r="C1358" s="8" t="s">
        <v>1560</v>
      </c>
      <c r="D1358" s="8" t="s">
        <v>1561</v>
      </c>
      <c r="E1358" s="39">
        <v>265000</v>
      </c>
      <c r="F1358" s="40" t="s">
        <v>1552</v>
      </c>
    </row>
    <row r="1359" spans="2:6" hidden="1">
      <c r="B1359" s="8">
        <v>1356</v>
      </c>
      <c r="C1359" s="8" t="s">
        <v>1562</v>
      </c>
      <c r="D1359" s="8" t="s">
        <v>211</v>
      </c>
      <c r="E1359" s="39">
        <v>322000</v>
      </c>
      <c r="F1359" s="40" t="s">
        <v>1552</v>
      </c>
    </row>
    <row r="1360" spans="2:6" hidden="1">
      <c r="B1360" s="8">
        <v>1357</v>
      </c>
      <c r="C1360" s="8" t="s">
        <v>224</v>
      </c>
      <c r="D1360" s="8" t="s">
        <v>339</v>
      </c>
      <c r="E1360" s="39">
        <v>87000</v>
      </c>
      <c r="F1360" s="40" t="s">
        <v>1552</v>
      </c>
    </row>
    <row r="1361" spans="2:6" hidden="1">
      <c r="B1361" s="8">
        <v>1358</v>
      </c>
      <c r="C1361" s="8" t="s">
        <v>226</v>
      </c>
      <c r="D1361" s="8" t="s">
        <v>211</v>
      </c>
      <c r="E1361" s="39">
        <v>463000</v>
      </c>
      <c r="F1361" s="40" t="s">
        <v>1552</v>
      </c>
    </row>
    <row r="1362" spans="2:6" hidden="1">
      <c r="B1362" s="8">
        <v>1359</v>
      </c>
      <c r="C1362" s="8" t="s">
        <v>227</v>
      </c>
      <c r="D1362" s="8" t="s">
        <v>717</v>
      </c>
      <c r="E1362" s="39">
        <v>286000</v>
      </c>
      <c r="F1362" s="40" t="s">
        <v>1552</v>
      </c>
    </row>
    <row r="1363" spans="2:6" hidden="1">
      <c r="B1363" s="8">
        <v>1360</v>
      </c>
      <c r="C1363" s="8" t="s">
        <v>1111</v>
      </c>
      <c r="D1363" s="8" t="s">
        <v>405</v>
      </c>
      <c r="E1363" s="39">
        <v>121000</v>
      </c>
      <c r="F1363" s="40" t="s">
        <v>1552</v>
      </c>
    </row>
    <row r="1364" spans="2:6" hidden="1">
      <c r="B1364" s="8">
        <v>1361</v>
      </c>
      <c r="C1364" s="8" t="s">
        <v>1563</v>
      </c>
      <c r="D1364" s="8" t="s">
        <v>1564</v>
      </c>
      <c r="E1364" s="39">
        <v>200000</v>
      </c>
      <c r="F1364" s="40" t="s">
        <v>1552</v>
      </c>
    </row>
    <row r="1365" spans="2:6" hidden="1">
      <c r="B1365" s="8">
        <v>1362</v>
      </c>
      <c r="C1365" s="8" t="s">
        <v>1563</v>
      </c>
      <c r="D1365" s="8" t="s">
        <v>1565</v>
      </c>
      <c r="E1365" s="39">
        <v>672000</v>
      </c>
      <c r="F1365" s="40" t="s">
        <v>1552</v>
      </c>
    </row>
    <row r="1366" spans="2:6" hidden="1">
      <c r="B1366" s="8">
        <v>1363</v>
      </c>
      <c r="C1366" s="8" t="s">
        <v>1566</v>
      </c>
      <c r="D1366" s="8" t="s">
        <v>247</v>
      </c>
      <c r="E1366" s="39">
        <v>84000</v>
      </c>
      <c r="F1366" s="40" t="s">
        <v>1552</v>
      </c>
    </row>
    <row r="1367" spans="2:6" hidden="1">
      <c r="B1367" s="8">
        <v>1364</v>
      </c>
      <c r="C1367" s="8" t="s">
        <v>248</v>
      </c>
      <c r="D1367" s="8" t="s">
        <v>1567</v>
      </c>
      <c r="E1367" s="39">
        <v>208000</v>
      </c>
      <c r="F1367" s="40" t="s">
        <v>1552</v>
      </c>
    </row>
    <row r="1368" spans="2:6" hidden="1">
      <c r="B1368" s="8">
        <v>1365</v>
      </c>
      <c r="C1368" s="8" t="s">
        <v>1568</v>
      </c>
      <c r="D1368" s="8" t="s">
        <v>199</v>
      </c>
      <c r="E1368" s="39">
        <v>358000</v>
      </c>
      <c r="F1368" s="40" t="s">
        <v>1552</v>
      </c>
    </row>
    <row r="1369" spans="2:6" hidden="1">
      <c r="B1369" s="8">
        <v>1366</v>
      </c>
      <c r="C1369" s="8" t="s">
        <v>257</v>
      </c>
      <c r="D1369" s="8" t="s">
        <v>1569</v>
      </c>
      <c r="E1369" s="39">
        <v>317000</v>
      </c>
      <c r="F1369" s="40" t="s">
        <v>1552</v>
      </c>
    </row>
    <row r="1370" spans="2:6" hidden="1">
      <c r="B1370" s="8">
        <v>1367</v>
      </c>
      <c r="C1370" s="8" t="s">
        <v>1570</v>
      </c>
      <c r="D1370" s="8" t="s">
        <v>1571</v>
      </c>
      <c r="E1370" s="39">
        <v>53000</v>
      </c>
      <c r="F1370" s="40" t="s">
        <v>1552</v>
      </c>
    </row>
    <row r="1371" spans="2:6" hidden="1">
      <c r="B1371" s="8">
        <v>1368</v>
      </c>
      <c r="C1371" s="8" t="s">
        <v>1572</v>
      </c>
      <c r="D1371" s="8" t="s">
        <v>1261</v>
      </c>
      <c r="E1371" s="39">
        <v>102000</v>
      </c>
      <c r="F1371" s="40" t="s">
        <v>1552</v>
      </c>
    </row>
    <row r="1372" spans="2:6" hidden="1">
      <c r="B1372" s="8">
        <v>1369</v>
      </c>
      <c r="C1372" s="8" t="s">
        <v>264</v>
      </c>
      <c r="D1372" s="8" t="s">
        <v>775</v>
      </c>
      <c r="E1372" s="39">
        <v>378000</v>
      </c>
      <c r="F1372" s="40" t="s">
        <v>1552</v>
      </c>
    </row>
    <row r="1373" spans="2:6" hidden="1">
      <c r="B1373" s="8">
        <v>1370</v>
      </c>
      <c r="C1373" s="8" t="s">
        <v>264</v>
      </c>
      <c r="D1373" s="8" t="s">
        <v>204</v>
      </c>
      <c r="E1373" s="39">
        <v>304000</v>
      </c>
      <c r="F1373" s="40" t="s">
        <v>1552</v>
      </c>
    </row>
    <row r="1374" spans="2:6" hidden="1">
      <c r="B1374" s="8">
        <v>1371</v>
      </c>
      <c r="C1374" s="8" t="s">
        <v>269</v>
      </c>
      <c r="D1374" s="8" t="s">
        <v>1573</v>
      </c>
      <c r="E1374" s="39">
        <v>308000</v>
      </c>
      <c r="F1374" s="40" t="s">
        <v>1552</v>
      </c>
    </row>
    <row r="1375" spans="2:6" hidden="1">
      <c r="B1375" s="8">
        <v>1372</v>
      </c>
      <c r="C1375" s="8" t="s">
        <v>269</v>
      </c>
      <c r="D1375" s="8" t="s">
        <v>1574</v>
      </c>
      <c r="E1375" s="39">
        <v>119000</v>
      </c>
      <c r="F1375" s="40" t="s">
        <v>1552</v>
      </c>
    </row>
    <row r="1376" spans="2:6" hidden="1">
      <c r="B1376" s="8">
        <v>1373</v>
      </c>
      <c r="C1376" s="8" t="s">
        <v>274</v>
      </c>
      <c r="D1376" s="8" t="s">
        <v>640</v>
      </c>
      <c r="E1376" s="39">
        <v>422000</v>
      </c>
      <c r="F1376" s="40" t="s">
        <v>1552</v>
      </c>
    </row>
    <row r="1377" spans="2:6" hidden="1">
      <c r="B1377" s="8">
        <v>1374</v>
      </c>
      <c r="C1377" s="8" t="s">
        <v>274</v>
      </c>
      <c r="D1377" s="8" t="s">
        <v>1575</v>
      </c>
      <c r="E1377" s="39">
        <v>44000</v>
      </c>
      <c r="F1377" s="40" t="s">
        <v>1552</v>
      </c>
    </row>
    <row r="1378" spans="2:6" hidden="1">
      <c r="B1378" s="8">
        <v>1375</v>
      </c>
      <c r="C1378" s="8" t="s">
        <v>274</v>
      </c>
      <c r="D1378" s="8" t="s">
        <v>1564</v>
      </c>
      <c r="E1378" s="39">
        <v>200000</v>
      </c>
      <c r="F1378" s="40" t="s">
        <v>1552</v>
      </c>
    </row>
    <row r="1379" spans="2:6" hidden="1">
      <c r="B1379" s="8">
        <v>1376</v>
      </c>
      <c r="C1379" s="8" t="s">
        <v>1125</v>
      </c>
      <c r="D1379" s="8" t="s">
        <v>1576</v>
      </c>
      <c r="E1379" s="39">
        <v>577000</v>
      </c>
      <c r="F1379" s="40" t="s">
        <v>1552</v>
      </c>
    </row>
    <row r="1380" spans="2:6" hidden="1">
      <c r="B1380" s="8">
        <v>1377</v>
      </c>
      <c r="C1380" s="8" t="s">
        <v>1125</v>
      </c>
      <c r="D1380" s="8" t="s">
        <v>282</v>
      </c>
      <c r="E1380" s="39">
        <v>229000</v>
      </c>
      <c r="F1380" s="40" t="s">
        <v>1552</v>
      </c>
    </row>
    <row r="1381" spans="2:6" hidden="1">
      <c r="B1381" s="8">
        <v>1378</v>
      </c>
      <c r="C1381" s="8" t="s">
        <v>1577</v>
      </c>
      <c r="D1381" s="8" t="s">
        <v>345</v>
      </c>
      <c r="E1381" s="39">
        <v>918000</v>
      </c>
      <c r="F1381" s="40" t="s">
        <v>1552</v>
      </c>
    </row>
    <row r="1382" spans="2:6" hidden="1">
      <c r="B1382" s="8">
        <v>1379</v>
      </c>
      <c r="C1382" s="8" t="s">
        <v>281</v>
      </c>
      <c r="D1382" s="8" t="s">
        <v>211</v>
      </c>
      <c r="E1382" s="39">
        <v>130000</v>
      </c>
      <c r="F1382" s="40" t="s">
        <v>1552</v>
      </c>
    </row>
    <row r="1383" spans="2:6" hidden="1">
      <c r="B1383" s="8">
        <v>1380</v>
      </c>
      <c r="C1383" s="8" t="s">
        <v>283</v>
      </c>
      <c r="D1383" s="8" t="s">
        <v>319</v>
      </c>
      <c r="E1383" s="39">
        <v>284000</v>
      </c>
      <c r="F1383" s="40" t="s">
        <v>1552</v>
      </c>
    </row>
    <row r="1384" spans="2:6" hidden="1">
      <c r="B1384" s="8">
        <v>1381</v>
      </c>
      <c r="C1384" s="8" t="s">
        <v>1578</v>
      </c>
      <c r="D1384" s="8" t="s">
        <v>1579</v>
      </c>
      <c r="E1384" s="39">
        <v>53000</v>
      </c>
      <c r="F1384" s="40" t="s">
        <v>1552</v>
      </c>
    </row>
    <row r="1385" spans="2:6" hidden="1">
      <c r="B1385" s="8">
        <v>1382</v>
      </c>
      <c r="C1385" s="8" t="s">
        <v>287</v>
      </c>
      <c r="D1385" s="8" t="s">
        <v>699</v>
      </c>
      <c r="E1385" s="39">
        <v>84000</v>
      </c>
      <c r="F1385" s="40" t="s">
        <v>1552</v>
      </c>
    </row>
    <row r="1386" spans="2:6" hidden="1">
      <c r="B1386" s="8">
        <v>1383</v>
      </c>
      <c r="C1386" s="8" t="s">
        <v>1580</v>
      </c>
      <c r="D1386" s="8" t="s">
        <v>659</v>
      </c>
      <c r="E1386" s="39">
        <v>1018000</v>
      </c>
      <c r="F1386" s="40" t="s">
        <v>1552</v>
      </c>
    </row>
    <row r="1387" spans="2:6" hidden="1">
      <c r="B1387" s="8">
        <v>1384</v>
      </c>
      <c r="C1387" s="8" t="s">
        <v>293</v>
      </c>
      <c r="D1387" s="8" t="s">
        <v>1272</v>
      </c>
      <c r="E1387" s="39">
        <v>1821000</v>
      </c>
      <c r="F1387" s="40" t="s">
        <v>1552</v>
      </c>
    </row>
    <row r="1388" spans="2:6" hidden="1">
      <c r="B1388" s="8">
        <v>1385</v>
      </c>
      <c r="C1388" s="8" t="s">
        <v>294</v>
      </c>
      <c r="D1388" s="8" t="s">
        <v>922</v>
      </c>
      <c r="E1388" s="39">
        <v>111000</v>
      </c>
      <c r="F1388" s="40" t="s">
        <v>1552</v>
      </c>
    </row>
    <row r="1389" spans="2:6" hidden="1">
      <c r="B1389" s="8">
        <v>1386</v>
      </c>
      <c r="C1389" s="8" t="s">
        <v>296</v>
      </c>
      <c r="D1389" s="8" t="s">
        <v>1581</v>
      </c>
      <c r="E1389" s="39">
        <v>162000</v>
      </c>
      <c r="F1389" s="40" t="s">
        <v>1552</v>
      </c>
    </row>
    <row r="1390" spans="2:6" hidden="1">
      <c r="B1390" s="8">
        <v>1387</v>
      </c>
      <c r="C1390" s="8" t="s">
        <v>302</v>
      </c>
      <c r="D1390" s="8" t="s">
        <v>767</v>
      </c>
      <c r="E1390" s="39">
        <v>142000</v>
      </c>
      <c r="F1390" s="40" t="s">
        <v>1552</v>
      </c>
    </row>
    <row r="1391" spans="2:6" hidden="1">
      <c r="B1391" s="8">
        <v>1388</v>
      </c>
      <c r="C1391" s="8" t="s">
        <v>302</v>
      </c>
      <c r="D1391" s="8" t="s">
        <v>381</v>
      </c>
      <c r="E1391" s="39">
        <v>154000</v>
      </c>
      <c r="F1391" s="40" t="s">
        <v>1552</v>
      </c>
    </row>
    <row r="1392" spans="2:6" hidden="1">
      <c r="B1392" s="8">
        <v>1389</v>
      </c>
      <c r="C1392" s="8" t="s">
        <v>304</v>
      </c>
      <c r="D1392" s="8" t="s">
        <v>1569</v>
      </c>
      <c r="E1392" s="39">
        <v>317000</v>
      </c>
      <c r="F1392" s="40" t="s">
        <v>1552</v>
      </c>
    </row>
    <row r="1393" spans="2:6" hidden="1">
      <c r="B1393" s="8">
        <v>1390</v>
      </c>
      <c r="C1393" s="8" t="s">
        <v>1582</v>
      </c>
      <c r="D1393" s="8" t="s">
        <v>204</v>
      </c>
      <c r="E1393" s="39">
        <v>142000</v>
      </c>
      <c r="F1393" s="40" t="s">
        <v>1552</v>
      </c>
    </row>
    <row r="1394" spans="2:6" hidden="1">
      <c r="B1394" s="8">
        <v>1391</v>
      </c>
      <c r="C1394" s="8" t="s">
        <v>1130</v>
      </c>
      <c r="D1394" s="8" t="s">
        <v>317</v>
      </c>
      <c r="E1394" s="39">
        <v>96000</v>
      </c>
      <c r="F1394" s="40" t="s">
        <v>1552</v>
      </c>
    </row>
    <row r="1395" spans="2:6" hidden="1">
      <c r="B1395" s="8">
        <v>1392</v>
      </c>
      <c r="C1395" s="8" t="s">
        <v>1583</v>
      </c>
      <c r="D1395" s="8" t="s">
        <v>204</v>
      </c>
      <c r="E1395" s="39">
        <v>196000</v>
      </c>
      <c r="F1395" s="40" t="s">
        <v>1552</v>
      </c>
    </row>
    <row r="1396" spans="2:6" hidden="1">
      <c r="B1396" s="8">
        <v>1393</v>
      </c>
      <c r="C1396" s="8" t="s">
        <v>322</v>
      </c>
      <c r="D1396" s="8" t="s">
        <v>640</v>
      </c>
      <c r="E1396" s="39">
        <v>258000</v>
      </c>
      <c r="F1396" s="40" t="s">
        <v>1552</v>
      </c>
    </row>
    <row r="1397" spans="2:6" hidden="1">
      <c r="B1397" s="8">
        <v>1394</v>
      </c>
      <c r="C1397" s="8" t="s">
        <v>322</v>
      </c>
      <c r="D1397" s="8" t="s">
        <v>1584</v>
      </c>
      <c r="E1397" s="39">
        <v>500000</v>
      </c>
      <c r="F1397" s="40" t="s">
        <v>1552</v>
      </c>
    </row>
    <row r="1398" spans="2:6" hidden="1">
      <c r="B1398" s="8">
        <v>1395</v>
      </c>
      <c r="C1398" s="8" t="s">
        <v>1137</v>
      </c>
      <c r="D1398" s="8" t="s">
        <v>608</v>
      </c>
      <c r="E1398" s="39">
        <v>202000</v>
      </c>
      <c r="F1398" s="40" t="s">
        <v>1552</v>
      </c>
    </row>
    <row r="1399" spans="2:6" hidden="1">
      <c r="B1399" s="8">
        <v>1396</v>
      </c>
      <c r="C1399" s="8" t="s">
        <v>1137</v>
      </c>
      <c r="D1399" s="8" t="s">
        <v>1585</v>
      </c>
      <c r="E1399" s="39">
        <v>890000</v>
      </c>
      <c r="F1399" s="40" t="s">
        <v>1552</v>
      </c>
    </row>
    <row r="1400" spans="2:6" hidden="1">
      <c r="B1400" s="8">
        <v>1397</v>
      </c>
      <c r="C1400" s="8" t="s">
        <v>333</v>
      </c>
      <c r="D1400" s="8" t="s">
        <v>198</v>
      </c>
      <c r="E1400" s="39">
        <v>1676000</v>
      </c>
      <c r="F1400" s="40" t="s">
        <v>1552</v>
      </c>
    </row>
    <row r="1401" spans="2:6" hidden="1">
      <c r="B1401" s="8">
        <v>1398</v>
      </c>
      <c r="C1401" s="8" t="s">
        <v>333</v>
      </c>
      <c r="D1401" s="8" t="s">
        <v>1586</v>
      </c>
      <c r="E1401" s="39">
        <v>224000</v>
      </c>
      <c r="F1401" s="40" t="s">
        <v>1552</v>
      </c>
    </row>
    <row r="1402" spans="2:6" hidden="1">
      <c r="B1402" s="8">
        <v>1399</v>
      </c>
      <c r="C1402" s="8" t="s">
        <v>333</v>
      </c>
      <c r="D1402" s="8" t="s">
        <v>1587</v>
      </c>
      <c r="E1402" s="39">
        <v>762000</v>
      </c>
      <c r="F1402" s="40" t="s">
        <v>1552</v>
      </c>
    </row>
    <row r="1403" spans="2:6" hidden="1">
      <c r="B1403" s="8">
        <v>1400</v>
      </c>
      <c r="C1403" s="8" t="s">
        <v>333</v>
      </c>
      <c r="D1403" s="8" t="s">
        <v>534</v>
      </c>
      <c r="E1403" s="39">
        <v>86000</v>
      </c>
      <c r="F1403" s="40" t="s">
        <v>1552</v>
      </c>
    </row>
    <row r="1404" spans="2:6" hidden="1">
      <c r="B1404" s="8">
        <v>1401</v>
      </c>
      <c r="C1404" s="8" t="s">
        <v>1146</v>
      </c>
      <c r="D1404" s="8" t="s">
        <v>1588</v>
      </c>
      <c r="E1404" s="39">
        <v>166000</v>
      </c>
      <c r="F1404" s="40" t="s">
        <v>1552</v>
      </c>
    </row>
    <row r="1405" spans="2:6" hidden="1">
      <c r="B1405" s="8">
        <v>1402</v>
      </c>
      <c r="C1405" s="8" t="s">
        <v>1589</v>
      </c>
      <c r="D1405" s="8" t="s">
        <v>204</v>
      </c>
      <c r="E1405" s="39">
        <v>190000</v>
      </c>
      <c r="F1405" s="40" t="s">
        <v>1552</v>
      </c>
    </row>
    <row r="1406" spans="2:6" hidden="1">
      <c r="B1406" s="8">
        <v>1403</v>
      </c>
      <c r="C1406" s="8" t="s">
        <v>1590</v>
      </c>
      <c r="D1406" s="8" t="s">
        <v>323</v>
      </c>
      <c r="E1406" s="39">
        <v>381000</v>
      </c>
      <c r="F1406" s="40" t="s">
        <v>1552</v>
      </c>
    </row>
    <row r="1407" spans="2:6" hidden="1">
      <c r="B1407" s="8">
        <v>1404</v>
      </c>
      <c r="C1407" s="8" t="s">
        <v>1590</v>
      </c>
      <c r="D1407" s="8" t="s">
        <v>542</v>
      </c>
      <c r="E1407" s="39">
        <v>1287000</v>
      </c>
      <c r="F1407" s="40" t="s">
        <v>1552</v>
      </c>
    </row>
    <row r="1408" spans="2:6" hidden="1">
      <c r="B1408" s="8">
        <v>1405</v>
      </c>
      <c r="C1408" s="8" t="s">
        <v>340</v>
      </c>
      <c r="D1408" s="8" t="s">
        <v>502</v>
      </c>
      <c r="E1408" s="39">
        <v>311000</v>
      </c>
      <c r="F1408" s="40" t="s">
        <v>1552</v>
      </c>
    </row>
    <row r="1409" spans="2:6" hidden="1">
      <c r="B1409" s="8">
        <v>1406</v>
      </c>
      <c r="C1409" s="8" t="s">
        <v>341</v>
      </c>
      <c r="D1409" s="8" t="s">
        <v>1564</v>
      </c>
      <c r="E1409" s="39">
        <v>200000</v>
      </c>
      <c r="F1409" s="40" t="s">
        <v>1552</v>
      </c>
    </row>
    <row r="1410" spans="2:6" hidden="1">
      <c r="B1410" s="8">
        <v>1407</v>
      </c>
      <c r="C1410" s="8" t="s">
        <v>1149</v>
      </c>
      <c r="D1410" s="8" t="s">
        <v>204</v>
      </c>
      <c r="E1410" s="39">
        <v>223000</v>
      </c>
      <c r="F1410" s="40" t="s">
        <v>1552</v>
      </c>
    </row>
    <row r="1411" spans="2:6" hidden="1">
      <c r="B1411" s="8">
        <v>1408</v>
      </c>
      <c r="C1411" s="8" t="s">
        <v>1150</v>
      </c>
      <c r="D1411" s="8" t="s">
        <v>198</v>
      </c>
      <c r="E1411" s="39">
        <v>287000</v>
      </c>
      <c r="F1411" s="40" t="s">
        <v>1552</v>
      </c>
    </row>
    <row r="1412" spans="2:6" hidden="1">
      <c r="B1412" s="8">
        <v>1409</v>
      </c>
      <c r="C1412" s="8" t="s">
        <v>1152</v>
      </c>
      <c r="D1412" s="8" t="s">
        <v>1591</v>
      </c>
      <c r="E1412" s="39">
        <v>405000</v>
      </c>
      <c r="F1412" s="40" t="s">
        <v>1552</v>
      </c>
    </row>
    <row r="1413" spans="2:6" hidden="1">
      <c r="B1413" s="8">
        <v>1410</v>
      </c>
      <c r="C1413" s="8" t="s">
        <v>1152</v>
      </c>
      <c r="D1413" s="8" t="s">
        <v>345</v>
      </c>
      <c r="E1413" s="39">
        <v>7735000</v>
      </c>
      <c r="F1413" s="40" t="s">
        <v>1552</v>
      </c>
    </row>
    <row r="1414" spans="2:6" hidden="1">
      <c r="B1414" s="8">
        <v>1411</v>
      </c>
      <c r="C1414" s="8" t="s">
        <v>344</v>
      </c>
      <c r="D1414" s="8" t="s">
        <v>1592</v>
      </c>
      <c r="E1414" s="39">
        <v>304000</v>
      </c>
      <c r="F1414" s="40" t="s">
        <v>1552</v>
      </c>
    </row>
    <row r="1415" spans="2:6" hidden="1">
      <c r="B1415" s="8">
        <v>1412</v>
      </c>
      <c r="C1415" s="8" t="s">
        <v>1593</v>
      </c>
      <c r="D1415" s="8" t="s">
        <v>1594</v>
      </c>
      <c r="E1415" s="39">
        <v>3265000</v>
      </c>
      <c r="F1415" s="40" t="s">
        <v>1552</v>
      </c>
    </row>
    <row r="1416" spans="2:6" hidden="1">
      <c r="B1416" s="8">
        <v>1413</v>
      </c>
      <c r="C1416" s="8" t="s">
        <v>351</v>
      </c>
      <c r="D1416" s="8" t="s">
        <v>1431</v>
      </c>
      <c r="E1416" s="39">
        <v>75000</v>
      </c>
      <c r="F1416" s="40" t="s">
        <v>1552</v>
      </c>
    </row>
    <row r="1417" spans="2:6" hidden="1">
      <c r="B1417" s="8">
        <v>1414</v>
      </c>
      <c r="C1417" s="8" t="s">
        <v>353</v>
      </c>
      <c r="D1417" s="8" t="s">
        <v>1595</v>
      </c>
      <c r="E1417" s="39">
        <v>64000</v>
      </c>
      <c r="F1417" s="40" t="s">
        <v>1552</v>
      </c>
    </row>
    <row r="1418" spans="2:6" hidden="1">
      <c r="B1418" s="8">
        <v>1415</v>
      </c>
      <c r="C1418" s="8" t="s">
        <v>1159</v>
      </c>
      <c r="D1418" s="8" t="s">
        <v>198</v>
      </c>
      <c r="E1418" s="39">
        <v>1446000</v>
      </c>
      <c r="F1418" s="40" t="s">
        <v>1552</v>
      </c>
    </row>
    <row r="1419" spans="2:6" hidden="1">
      <c r="B1419" s="8">
        <v>1416</v>
      </c>
      <c r="C1419" s="8" t="s">
        <v>1596</v>
      </c>
      <c r="D1419" s="8" t="s">
        <v>317</v>
      </c>
      <c r="E1419" s="39">
        <v>327000</v>
      </c>
      <c r="F1419" s="40" t="s">
        <v>1552</v>
      </c>
    </row>
    <row r="1420" spans="2:6" hidden="1">
      <c r="B1420" s="8">
        <v>1417</v>
      </c>
      <c r="C1420" s="8" t="s">
        <v>1163</v>
      </c>
      <c r="D1420" s="8" t="s">
        <v>1597</v>
      </c>
      <c r="E1420" s="39">
        <v>401000</v>
      </c>
      <c r="F1420" s="40" t="s">
        <v>1552</v>
      </c>
    </row>
    <row r="1421" spans="2:6" hidden="1">
      <c r="B1421" s="8">
        <v>1418</v>
      </c>
      <c r="C1421" s="8" t="s">
        <v>1163</v>
      </c>
      <c r="D1421" s="8" t="s">
        <v>211</v>
      </c>
      <c r="E1421" s="39">
        <v>290000</v>
      </c>
      <c r="F1421" s="40" t="s">
        <v>1552</v>
      </c>
    </row>
    <row r="1422" spans="2:6" hidden="1">
      <c r="B1422" s="8">
        <v>1419</v>
      </c>
      <c r="C1422" s="8" t="s">
        <v>369</v>
      </c>
      <c r="D1422" s="8" t="s">
        <v>1564</v>
      </c>
      <c r="E1422" s="39">
        <v>200000</v>
      </c>
      <c r="F1422" s="40" t="s">
        <v>1552</v>
      </c>
    </row>
    <row r="1423" spans="2:6" hidden="1">
      <c r="B1423" s="8">
        <v>1420</v>
      </c>
      <c r="C1423" s="8" t="s">
        <v>369</v>
      </c>
      <c r="D1423" s="8" t="s">
        <v>1598</v>
      </c>
      <c r="E1423" s="39">
        <v>288000</v>
      </c>
      <c r="F1423" s="40" t="s">
        <v>1552</v>
      </c>
    </row>
    <row r="1424" spans="2:6" hidden="1">
      <c r="B1424" s="8">
        <v>1421</v>
      </c>
      <c r="C1424" s="8" t="s">
        <v>373</v>
      </c>
      <c r="D1424" s="8" t="s">
        <v>198</v>
      </c>
      <c r="E1424" s="39">
        <v>498000</v>
      </c>
      <c r="F1424" s="40" t="s">
        <v>1552</v>
      </c>
    </row>
    <row r="1425" spans="2:6" hidden="1">
      <c r="B1425" s="8">
        <v>1422</v>
      </c>
      <c r="C1425" s="8" t="s">
        <v>376</v>
      </c>
      <c r="D1425" s="8" t="s">
        <v>1599</v>
      </c>
      <c r="E1425" s="39">
        <v>741000</v>
      </c>
      <c r="F1425" s="40" t="s">
        <v>1552</v>
      </c>
    </row>
    <row r="1426" spans="2:6" hidden="1">
      <c r="B1426" s="8">
        <v>1423</v>
      </c>
      <c r="C1426" s="8" t="s">
        <v>378</v>
      </c>
      <c r="D1426" s="8" t="s">
        <v>1136</v>
      </c>
      <c r="E1426" s="39">
        <v>84000</v>
      </c>
      <c r="F1426" s="40" t="s">
        <v>1552</v>
      </c>
    </row>
    <row r="1427" spans="2:6" hidden="1">
      <c r="B1427" s="8">
        <v>1424</v>
      </c>
      <c r="C1427" s="8" t="s">
        <v>380</v>
      </c>
      <c r="D1427" s="8" t="s">
        <v>1600</v>
      </c>
      <c r="E1427" s="39">
        <v>84000</v>
      </c>
      <c r="F1427" s="40" t="s">
        <v>1552</v>
      </c>
    </row>
    <row r="1428" spans="2:6" hidden="1">
      <c r="B1428" s="8">
        <v>1425</v>
      </c>
      <c r="C1428" s="8" t="s">
        <v>382</v>
      </c>
      <c r="D1428" s="8" t="s">
        <v>211</v>
      </c>
      <c r="E1428" s="39">
        <v>776000</v>
      </c>
      <c r="F1428" s="40" t="s">
        <v>1552</v>
      </c>
    </row>
    <row r="1429" spans="2:6" hidden="1">
      <c r="B1429" s="8">
        <v>1426</v>
      </c>
      <c r="C1429" s="8" t="s">
        <v>382</v>
      </c>
      <c r="D1429" s="8" t="s">
        <v>1564</v>
      </c>
      <c r="E1429" s="39">
        <v>200000</v>
      </c>
      <c r="F1429" s="40" t="s">
        <v>1552</v>
      </c>
    </row>
    <row r="1430" spans="2:6" hidden="1">
      <c r="B1430" s="8">
        <v>1427</v>
      </c>
      <c r="C1430" s="8" t="s">
        <v>382</v>
      </c>
      <c r="D1430" s="8" t="s">
        <v>198</v>
      </c>
      <c r="E1430" s="39">
        <v>577000</v>
      </c>
      <c r="F1430" s="40" t="s">
        <v>1552</v>
      </c>
    </row>
    <row r="1431" spans="2:6" hidden="1">
      <c r="B1431" s="8">
        <v>1428</v>
      </c>
      <c r="C1431" s="8" t="s">
        <v>382</v>
      </c>
      <c r="D1431" s="8" t="s">
        <v>198</v>
      </c>
      <c r="E1431" s="39">
        <v>498000</v>
      </c>
      <c r="F1431" s="40" t="s">
        <v>1552</v>
      </c>
    </row>
    <row r="1432" spans="2:6" hidden="1">
      <c r="B1432" s="8">
        <v>1429</v>
      </c>
      <c r="C1432" s="8" t="s">
        <v>382</v>
      </c>
      <c r="D1432" s="8" t="s">
        <v>317</v>
      </c>
      <c r="E1432" s="39">
        <v>99000</v>
      </c>
      <c r="F1432" s="40" t="s">
        <v>1552</v>
      </c>
    </row>
    <row r="1433" spans="2:6" hidden="1">
      <c r="B1433" s="8">
        <v>1430</v>
      </c>
      <c r="C1433" s="8" t="s">
        <v>382</v>
      </c>
      <c r="D1433" s="8" t="s">
        <v>1601</v>
      </c>
      <c r="E1433" s="39">
        <v>75000</v>
      </c>
      <c r="F1433" s="40" t="s">
        <v>1552</v>
      </c>
    </row>
    <row r="1434" spans="2:6" hidden="1">
      <c r="B1434" s="8">
        <v>1431</v>
      </c>
      <c r="C1434" s="8" t="s">
        <v>382</v>
      </c>
      <c r="D1434" s="8" t="s">
        <v>317</v>
      </c>
      <c r="E1434" s="39">
        <v>201000</v>
      </c>
      <c r="F1434" s="40" t="s">
        <v>1552</v>
      </c>
    </row>
    <row r="1435" spans="2:6" hidden="1">
      <c r="B1435" s="8">
        <v>1432</v>
      </c>
      <c r="C1435" s="8" t="s">
        <v>1602</v>
      </c>
      <c r="D1435" s="8" t="s">
        <v>1603</v>
      </c>
      <c r="E1435" s="39">
        <v>304000</v>
      </c>
      <c r="F1435" s="40" t="s">
        <v>1552</v>
      </c>
    </row>
    <row r="1436" spans="2:6" hidden="1">
      <c r="B1436" s="8">
        <v>1433</v>
      </c>
      <c r="C1436" s="8" t="s">
        <v>1171</v>
      </c>
      <c r="D1436" s="8" t="s">
        <v>1592</v>
      </c>
      <c r="E1436" s="39">
        <v>262000</v>
      </c>
      <c r="F1436" s="40" t="s">
        <v>1552</v>
      </c>
    </row>
    <row r="1437" spans="2:6" hidden="1">
      <c r="B1437" s="8">
        <v>1434</v>
      </c>
      <c r="C1437" s="8" t="s">
        <v>1171</v>
      </c>
      <c r="D1437" s="8" t="s">
        <v>1604</v>
      </c>
      <c r="E1437" s="39">
        <v>81000</v>
      </c>
      <c r="F1437" s="40" t="s">
        <v>1552</v>
      </c>
    </row>
    <row r="1438" spans="2:6" hidden="1">
      <c r="B1438" s="8">
        <v>1435</v>
      </c>
      <c r="C1438" s="8" t="s">
        <v>1173</v>
      </c>
      <c r="D1438" s="8" t="s">
        <v>1605</v>
      </c>
      <c r="E1438" s="39">
        <v>367000</v>
      </c>
      <c r="F1438" s="40" t="s">
        <v>1552</v>
      </c>
    </row>
    <row r="1439" spans="2:6" hidden="1">
      <c r="B1439" s="8">
        <v>1436</v>
      </c>
      <c r="C1439" s="8" t="s">
        <v>1606</v>
      </c>
      <c r="D1439" s="8" t="s">
        <v>1250</v>
      </c>
      <c r="E1439" s="39">
        <v>197000</v>
      </c>
      <c r="F1439" s="40" t="s">
        <v>1552</v>
      </c>
    </row>
    <row r="1440" spans="2:6" hidden="1">
      <c r="B1440" s="8">
        <v>1437</v>
      </c>
      <c r="C1440" s="8" t="s">
        <v>1606</v>
      </c>
      <c r="D1440" s="8" t="s">
        <v>743</v>
      </c>
      <c r="E1440" s="39">
        <v>363000</v>
      </c>
      <c r="F1440" s="40" t="s">
        <v>1552</v>
      </c>
    </row>
    <row r="1441" spans="2:6" hidden="1">
      <c r="B1441" s="8">
        <v>1438</v>
      </c>
      <c r="C1441" s="8" t="s">
        <v>389</v>
      </c>
      <c r="D1441" s="8" t="s">
        <v>1607</v>
      </c>
      <c r="E1441" s="39">
        <v>123000</v>
      </c>
      <c r="F1441" s="40" t="s">
        <v>1552</v>
      </c>
    </row>
    <row r="1442" spans="2:6" hidden="1">
      <c r="B1442" s="8">
        <v>1439</v>
      </c>
      <c r="C1442" s="8" t="s">
        <v>391</v>
      </c>
      <c r="D1442" s="8" t="s">
        <v>204</v>
      </c>
      <c r="E1442" s="39">
        <v>177000</v>
      </c>
      <c r="F1442" s="40" t="s">
        <v>1552</v>
      </c>
    </row>
    <row r="1443" spans="2:6" hidden="1">
      <c r="B1443" s="8">
        <v>1440</v>
      </c>
      <c r="C1443" s="8" t="s">
        <v>391</v>
      </c>
      <c r="D1443" s="8" t="s">
        <v>345</v>
      </c>
      <c r="E1443" s="39">
        <v>1975000</v>
      </c>
      <c r="F1443" s="40" t="s">
        <v>1552</v>
      </c>
    </row>
    <row r="1444" spans="2:6" hidden="1">
      <c r="B1444" s="8">
        <v>1441</v>
      </c>
      <c r="C1444" s="8" t="s">
        <v>391</v>
      </c>
      <c r="D1444" s="8" t="s">
        <v>345</v>
      </c>
      <c r="E1444" s="39">
        <v>841000</v>
      </c>
      <c r="F1444" s="40" t="s">
        <v>1552</v>
      </c>
    </row>
    <row r="1445" spans="2:6" hidden="1">
      <c r="B1445" s="8">
        <v>1442</v>
      </c>
      <c r="C1445" s="8" t="s">
        <v>391</v>
      </c>
      <c r="D1445" s="8" t="s">
        <v>305</v>
      </c>
      <c r="E1445" s="39">
        <v>174000</v>
      </c>
      <c r="F1445" s="40" t="s">
        <v>1552</v>
      </c>
    </row>
    <row r="1446" spans="2:6" hidden="1">
      <c r="B1446" s="8">
        <v>1443</v>
      </c>
      <c r="C1446" s="8" t="s">
        <v>1608</v>
      </c>
      <c r="D1446" s="8" t="s">
        <v>640</v>
      </c>
      <c r="E1446" s="39">
        <v>194000</v>
      </c>
      <c r="F1446" s="40" t="s">
        <v>1552</v>
      </c>
    </row>
    <row r="1447" spans="2:6" hidden="1">
      <c r="B1447" s="8">
        <v>1444</v>
      </c>
      <c r="C1447" s="8" t="s">
        <v>189</v>
      </c>
      <c r="D1447" s="8" t="s">
        <v>381</v>
      </c>
      <c r="E1447" s="39">
        <v>154000</v>
      </c>
      <c r="F1447" s="40" t="s">
        <v>1552</v>
      </c>
    </row>
    <row r="1448" spans="2:6" hidden="1">
      <c r="B1448" s="8">
        <v>1445</v>
      </c>
      <c r="C1448" s="8" t="s">
        <v>395</v>
      </c>
      <c r="D1448" s="8" t="s">
        <v>1272</v>
      </c>
      <c r="E1448" s="39">
        <v>62000</v>
      </c>
      <c r="F1448" s="40" t="s">
        <v>1552</v>
      </c>
    </row>
    <row r="1449" spans="2:6" hidden="1">
      <c r="B1449" s="8">
        <v>1446</v>
      </c>
      <c r="C1449" s="8" t="s">
        <v>397</v>
      </c>
      <c r="D1449" s="8" t="s">
        <v>211</v>
      </c>
      <c r="E1449" s="39">
        <v>93000</v>
      </c>
      <c r="F1449" s="40" t="s">
        <v>1552</v>
      </c>
    </row>
    <row r="1450" spans="2:6" hidden="1">
      <c r="B1450" s="8">
        <v>1447</v>
      </c>
      <c r="C1450" s="8" t="s">
        <v>397</v>
      </c>
      <c r="D1450" s="8" t="s">
        <v>1609</v>
      </c>
      <c r="E1450" s="39">
        <v>582000</v>
      </c>
      <c r="F1450" s="40" t="s">
        <v>1552</v>
      </c>
    </row>
    <row r="1451" spans="2:6" hidden="1">
      <c r="B1451" s="8">
        <v>1448</v>
      </c>
      <c r="C1451" s="8" t="s">
        <v>399</v>
      </c>
      <c r="D1451" s="8" t="s">
        <v>345</v>
      </c>
      <c r="E1451" s="39">
        <v>175000</v>
      </c>
      <c r="F1451" s="40" t="s">
        <v>1552</v>
      </c>
    </row>
    <row r="1452" spans="2:6" hidden="1">
      <c r="B1452" s="8">
        <v>1449</v>
      </c>
      <c r="C1452" s="8" t="s">
        <v>406</v>
      </c>
      <c r="D1452" s="8" t="s">
        <v>1610</v>
      </c>
      <c r="E1452" s="39">
        <v>4363000</v>
      </c>
      <c r="F1452" s="40" t="s">
        <v>1552</v>
      </c>
    </row>
    <row r="1453" spans="2:6" hidden="1">
      <c r="B1453" s="8">
        <v>1450</v>
      </c>
      <c r="C1453" s="8" t="s">
        <v>406</v>
      </c>
      <c r="D1453" s="8" t="s">
        <v>317</v>
      </c>
      <c r="E1453" s="39">
        <v>225000</v>
      </c>
      <c r="F1453" s="40" t="s">
        <v>1552</v>
      </c>
    </row>
    <row r="1454" spans="2:6" hidden="1">
      <c r="B1454" s="8">
        <v>1451</v>
      </c>
      <c r="C1454" s="8" t="s">
        <v>406</v>
      </c>
      <c r="D1454" s="8" t="s">
        <v>1611</v>
      </c>
      <c r="E1454" s="39">
        <v>135000</v>
      </c>
      <c r="F1454" s="40" t="s">
        <v>1552</v>
      </c>
    </row>
    <row r="1455" spans="2:6" hidden="1">
      <c r="B1455" s="8">
        <v>1452</v>
      </c>
      <c r="C1455" s="8" t="s">
        <v>1179</v>
      </c>
      <c r="D1455" s="8" t="s">
        <v>1232</v>
      </c>
      <c r="E1455" s="39">
        <v>346000</v>
      </c>
      <c r="F1455" s="40" t="s">
        <v>1552</v>
      </c>
    </row>
    <row r="1456" spans="2:6" hidden="1">
      <c r="B1456" s="8">
        <v>1453</v>
      </c>
      <c r="C1456" s="8" t="s">
        <v>407</v>
      </c>
      <c r="D1456" s="8" t="s">
        <v>319</v>
      </c>
      <c r="E1456" s="39">
        <v>161000</v>
      </c>
      <c r="F1456" s="40" t="s">
        <v>1552</v>
      </c>
    </row>
    <row r="1457" spans="2:6" hidden="1">
      <c r="B1457" s="8">
        <v>1454</v>
      </c>
      <c r="C1457" s="8" t="s">
        <v>1612</v>
      </c>
      <c r="D1457" s="8" t="s">
        <v>1613</v>
      </c>
      <c r="E1457" s="39">
        <v>361000</v>
      </c>
      <c r="F1457" s="40" t="s">
        <v>1552</v>
      </c>
    </row>
    <row r="1458" spans="2:6" hidden="1">
      <c r="B1458" s="8">
        <v>1455</v>
      </c>
      <c r="C1458" s="8" t="s">
        <v>412</v>
      </c>
      <c r="D1458" s="8" t="s">
        <v>1614</v>
      </c>
      <c r="E1458" s="39">
        <v>145000</v>
      </c>
      <c r="F1458" s="40" t="s">
        <v>1552</v>
      </c>
    </row>
    <row r="1459" spans="2:6" hidden="1">
      <c r="B1459" s="8">
        <v>1456</v>
      </c>
      <c r="C1459" s="8" t="s">
        <v>414</v>
      </c>
      <c r="D1459" s="8" t="s">
        <v>199</v>
      </c>
      <c r="E1459" s="39">
        <v>329000</v>
      </c>
      <c r="F1459" s="40" t="s">
        <v>1552</v>
      </c>
    </row>
    <row r="1460" spans="2:6" hidden="1">
      <c r="B1460" s="8">
        <v>1457</v>
      </c>
      <c r="C1460" s="8" t="s">
        <v>414</v>
      </c>
      <c r="D1460" s="8" t="s">
        <v>1564</v>
      </c>
      <c r="E1460" s="39">
        <v>200000</v>
      </c>
      <c r="F1460" s="40" t="s">
        <v>1552</v>
      </c>
    </row>
    <row r="1461" spans="2:6" hidden="1">
      <c r="B1461" s="8">
        <v>1458</v>
      </c>
      <c r="C1461" s="8" t="s">
        <v>414</v>
      </c>
      <c r="D1461" s="8" t="s">
        <v>1300</v>
      </c>
      <c r="E1461" s="39">
        <v>742000</v>
      </c>
      <c r="F1461" s="40" t="s">
        <v>1552</v>
      </c>
    </row>
    <row r="1462" spans="2:6" hidden="1">
      <c r="B1462" s="8">
        <v>1459</v>
      </c>
      <c r="C1462" s="8" t="s">
        <v>1187</v>
      </c>
      <c r="D1462" s="8" t="s">
        <v>1232</v>
      </c>
      <c r="E1462" s="39">
        <v>933000</v>
      </c>
      <c r="F1462" s="40" t="s">
        <v>1552</v>
      </c>
    </row>
    <row r="1463" spans="2:6" hidden="1">
      <c r="B1463" s="8">
        <v>1460</v>
      </c>
      <c r="C1463" s="8" t="s">
        <v>1615</v>
      </c>
      <c r="D1463" s="8" t="s">
        <v>1616</v>
      </c>
      <c r="E1463" s="39">
        <v>300000</v>
      </c>
      <c r="F1463" s="40" t="s">
        <v>1552</v>
      </c>
    </row>
    <row r="1464" spans="2:6" hidden="1">
      <c r="B1464" s="8">
        <v>1461</v>
      </c>
      <c r="C1464" s="8" t="s">
        <v>420</v>
      </c>
      <c r="D1464" s="8" t="s">
        <v>1617</v>
      </c>
      <c r="E1464" s="39">
        <v>436000</v>
      </c>
      <c r="F1464" s="40" t="s">
        <v>1552</v>
      </c>
    </row>
    <row r="1465" spans="2:6" hidden="1">
      <c r="B1465" s="8">
        <v>1462</v>
      </c>
      <c r="C1465" s="8" t="s">
        <v>420</v>
      </c>
      <c r="D1465" s="8" t="s">
        <v>978</v>
      </c>
      <c r="E1465" s="39">
        <v>185000</v>
      </c>
      <c r="F1465" s="40" t="s">
        <v>1552</v>
      </c>
    </row>
    <row r="1466" spans="2:6" hidden="1">
      <c r="B1466" s="8">
        <v>1463</v>
      </c>
      <c r="C1466" s="8" t="s">
        <v>424</v>
      </c>
      <c r="D1466" s="8" t="s">
        <v>211</v>
      </c>
      <c r="E1466" s="39">
        <v>353000</v>
      </c>
      <c r="F1466" s="40" t="s">
        <v>1552</v>
      </c>
    </row>
    <row r="1467" spans="2:6" hidden="1">
      <c r="B1467" s="8">
        <v>1464</v>
      </c>
      <c r="C1467" s="8" t="s">
        <v>424</v>
      </c>
      <c r="D1467" s="8" t="s">
        <v>1618</v>
      </c>
      <c r="E1467" s="39">
        <v>248000</v>
      </c>
      <c r="F1467" s="40" t="s">
        <v>1552</v>
      </c>
    </row>
    <row r="1468" spans="2:6" hidden="1">
      <c r="B1468" s="8">
        <v>1465</v>
      </c>
      <c r="C1468" s="8" t="s">
        <v>424</v>
      </c>
      <c r="D1468" s="8" t="s">
        <v>838</v>
      </c>
      <c r="E1468" s="39">
        <v>86000</v>
      </c>
      <c r="F1468" s="40" t="s">
        <v>1552</v>
      </c>
    </row>
    <row r="1469" spans="2:6" hidden="1">
      <c r="B1469" s="8">
        <v>1466</v>
      </c>
      <c r="C1469" s="8" t="s">
        <v>424</v>
      </c>
      <c r="D1469" s="8" t="s">
        <v>211</v>
      </c>
      <c r="E1469" s="39">
        <v>350000</v>
      </c>
      <c r="F1469" s="40" t="s">
        <v>1552</v>
      </c>
    </row>
    <row r="1470" spans="2:6" hidden="1">
      <c r="B1470" s="8">
        <v>1467</v>
      </c>
      <c r="C1470" s="8" t="s">
        <v>425</v>
      </c>
      <c r="D1470" s="8" t="s">
        <v>1619</v>
      </c>
      <c r="E1470" s="39">
        <v>75000</v>
      </c>
      <c r="F1470" s="40" t="s">
        <v>1552</v>
      </c>
    </row>
    <row r="1471" spans="2:6" hidden="1">
      <c r="B1471" s="8">
        <v>1468</v>
      </c>
      <c r="C1471" s="8" t="s">
        <v>425</v>
      </c>
      <c r="D1471" s="8" t="s">
        <v>1620</v>
      </c>
      <c r="E1471" s="39">
        <v>76000</v>
      </c>
      <c r="F1471" s="40" t="s">
        <v>1552</v>
      </c>
    </row>
    <row r="1472" spans="2:6" hidden="1">
      <c r="B1472" s="8">
        <v>1469</v>
      </c>
      <c r="C1472" s="8" t="s">
        <v>427</v>
      </c>
      <c r="D1472" s="8" t="s">
        <v>204</v>
      </c>
      <c r="E1472" s="39">
        <v>165000</v>
      </c>
      <c r="F1472" s="40" t="s">
        <v>1552</v>
      </c>
    </row>
    <row r="1473" spans="2:6" hidden="1">
      <c r="B1473" s="8">
        <v>1470</v>
      </c>
      <c r="C1473" s="8" t="s">
        <v>1621</v>
      </c>
      <c r="D1473" s="8" t="s">
        <v>199</v>
      </c>
      <c r="E1473" s="39">
        <v>53000</v>
      </c>
      <c r="F1473" s="40" t="s">
        <v>1552</v>
      </c>
    </row>
    <row r="1474" spans="2:6" hidden="1">
      <c r="B1474" s="8">
        <v>1471</v>
      </c>
      <c r="C1474" s="8" t="s">
        <v>1621</v>
      </c>
      <c r="D1474" s="8" t="s">
        <v>204</v>
      </c>
      <c r="E1474" s="39">
        <v>561000</v>
      </c>
      <c r="F1474" s="40" t="s">
        <v>1552</v>
      </c>
    </row>
    <row r="1475" spans="2:6" hidden="1">
      <c r="B1475" s="8">
        <v>1472</v>
      </c>
      <c r="C1475" s="8" t="s">
        <v>1622</v>
      </c>
      <c r="D1475" s="8" t="s">
        <v>211</v>
      </c>
      <c r="E1475" s="39">
        <v>232000</v>
      </c>
      <c r="F1475" s="40" t="s">
        <v>1552</v>
      </c>
    </row>
    <row r="1476" spans="2:6" hidden="1">
      <c r="B1476" s="8">
        <v>1473</v>
      </c>
      <c r="C1476" s="8" t="s">
        <v>431</v>
      </c>
      <c r="D1476" s="8" t="s">
        <v>1623</v>
      </c>
      <c r="E1476" s="39">
        <v>899000</v>
      </c>
      <c r="F1476" s="40" t="s">
        <v>1552</v>
      </c>
    </row>
    <row r="1477" spans="2:6" hidden="1">
      <c r="B1477" s="8">
        <v>1474</v>
      </c>
      <c r="C1477" s="8" t="s">
        <v>1197</v>
      </c>
      <c r="D1477" s="8" t="s">
        <v>1624</v>
      </c>
      <c r="E1477" s="39">
        <v>453000</v>
      </c>
      <c r="F1477" s="40" t="s">
        <v>1552</v>
      </c>
    </row>
    <row r="1478" spans="2:6" hidden="1">
      <c r="B1478" s="8">
        <v>1475</v>
      </c>
      <c r="C1478" s="8" t="s">
        <v>1625</v>
      </c>
      <c r="D1478" s="8" t="s">
        <v>1409</v>
      </c>
      <c r="E1478" s="39">
        <v>97000</v>
      </c>
      <c r="F1478" s="40" t="s">
        <v>1552</v>
      </c>
    </row>
    <row r="1479" spans="2:6" hidden="1">
      <c r="B1479" s="8">
        <v>1476</v>
      </c>
      <c r="C1479" s="8" t="s">
        <v>1198</v>
      </c>
      <c r="D1479" s="8" t="s">
        <v>217</v>
      </c>
      <c r="E1479" s="39">
        <v>307000</v>
      </c>
      <c r="F1479" s="40" t="s">
        <v>1552</v>
      </c>
    </row>
    <row r="1480" spans="2:6" hidden="1">
      <c r="B1480" s="8">
        <v>1477</v>
      </c>
      <c r="C1480" s="8" t="s">
        <v>438</v>
      </c>
      <c r="D1480" s="8" t="s">
        <v>451</v>
      </c>
      <c r="E1480" s="39">
        <v>169000</v>
      </c>
      <c r="F1480" s="40" t="s">
        <v>1552</v>
      </c>
    </row>
    <row r="1481" spans="2:6" hidden="1">
      <c r="B1481" s="8">
        <v>1478</v>
      </c>
      <c r="C1481" s="8" t="s">
        <v>1626</v>
      </c>
      <c r="D1481" s="8" t="s">
        <v>375</v>
      </c>
      <c r="E1481" s="39">
        <v>311000</v>
      </c>
      <c r="F1481" s="40" t="s">
        <v>1552</v>
      </c>
    </row>
    <row r="1482" spans="2:6" hidden="1">
      <c r="B1482" s="8">
        <v>1479</v>
      </c>
      <c r="C1482" s="8" t="s">
        <v>1627</v>
      </c>
      <c r="D1482" s="8" t="s">
        <v>573</v>
      </c>
      <c r="E1482" s="39">
        <v>163000</v>
      </c>
      <c r="F1482" s="40" t="s">
        <v>1552</v>
      </c>
    </row>
    <row r="1483" spans="2:6" hidden="1">
      <c r="B1483" s="8">
        <v>1480</v>
      </c>
      <c r="C1483" s="8" t="s">
        <v>448</v>
      </c>
      <c r="D1483" s="8" t="s">
        <v>1628</v>
      </c>
      <c r="E1483" s="39">
        <v>325000</v>
      </c>
      <c r="F1483" s="40" t="s">
        <v>1552</v>
      </c>
    </row>
    <row r="1484" spans="2:6" hidden="1">
      <c r="B1484" s="8">
        <v>1481</v>
      </c>
      <c r="C1484" s="8" t="s">
        <v>448</v>
      </c>
      <c r="D1484" s="8" t="s">
        <v>198</v>
      </c>
      <c r="E1484" s="39">
        <v>273000</v>
      </c>
      <c r="F1484" s="40" t="s">
        <v>1552</v>
      </c>
    </row>
    <row r="1485" spans="2:6" hidden="1">
      <c r="B1485" s="8">
        <v>1482</v>
      </c>
      <c r="C1485" s="8" t="s">
        <v>450</v>
      </c>
      <c r="D1485" s="8" t="s">
        <v>1629</v>
      </c>
      <c r="E1485" s="39">
        <v>84000</v>
      </c>
      <c r="F1485" s="40" t="s">
        <v>1552</v>
      </c>
    </row>
    <row r="1486" spans="2:6" hidden="1">
      <c r="B1486" s="8">
        <v>1483</v>
      </c>
      <c r="C1486" s="8" t="s">
        <v>1630</v>
      </c>
      <c r="D1486" s="8" t="s">
        <v>198</v>
      </c>
      <c r="E1486" s="39">
        <v>178000</v>
      </c>
      <c r="F1486" s="40" t="s">
        <v>1552</v>
      </c>
    </row>
    <row r="1487" spans="2:6" hidden="1">
      <c r="B1487" s="8">
        <v>1484</v>
      </c>
      <c r="C1487" s="8" t="s">
        <v>1631</v>
      </c>
      <c r="D1487" s="8" t="s">
        <v>198</v>
      </c>
      <c r="E1487" s="39">
        <v>498000</v>
      </c>
      <c r="F1487" s="40" t="s">
        <v>1552</v>
      </c>
    </row>
    <row r="1488" spans="2:6" hidden="1">
      <c r="B1488" s="8">
        <v>1485</v>
      </c>
      <c r="C1488" s="8" t="s">
        <v>1631</v>
      </c>
      <c r="D1488" s="8" t="s">
        <v>1632</v>
      </c>
      <c r="E1488" s="39">
        <v>74000</v>
      </c>
      <c r="F1488" s="40" t="s">
        <v>1552</v>
      </c>
    </row>
    <row r="1489" spans="2:6" hidden="1">
      <c r="B1489" s="8">
        <v>1486</v>
      </c>
      <c r="C1489" s="8" t="s">
        <v>460</v>
      </c>
      <c r="D1489" s="8" t="s">
        <v>1633</v>
      </c>
      <c r="E1489" s="39">
        <v>155000</v>
      </c>
      <c r="F1489" s="40" t="s">
        <v>1552</v>
      </c>
    </row>
    <row r="1490" spans="2:6" hidden="1">
      <c r="B1490" s="8">
        <v>1487</v>
      </c>
      <c r="C1490" s="8" t="s">
        <v>460</v>
      </c>
      <c r="D1490" s="8" t="s">
        <v>217</v>
      </c>
      <c r="E1490" s="39">
        <v>444000</v>
      </c>
      <c r="F1490" s="40" t="s">
        <v>1552</v>
      </c>
    </row>
    <row r="1491" spans="2:6" hidden="1">
      <c r="B1491" s="8">
        <v>1488</v>
      </c>
      <c r="C1491" s="8" t="s">
        <v>461</v>
      </c>
      <c r="D1491" s="8" t="s">
        <v>317</v>
      </c>
      <c r="E1491" s="39">
        <v>975000</v>
      </c>
      <c r="F1491" s="40" t="s">
        <v>1552</v>
      </c>
    </row>
    <row r="1492" spans="2:6" hidden="1">
      <c r="B1492" s="8">
        <v>1489</v>
      </c>
      <c r="C1492" s="8" t="s">
        <v>1634</v>
      </c>
      <c r="D1492" s="8" t="s">
        <v>1635</v>
      </c>
      <c r="E1492" s="39">
        <v>451000</v>
      </c>
      <c r="F1492" s="40" t="s">
        <v>1552</v>
      </c>
    </row>
    <row r="1493" spans="2:6" hidden="1">
      <c r="B1493" s="8">
        <v>1490</v>
      </c>
      <c r="C1493" s="8" t="s">
        <v>464</v>
      </c>
      <c r="D1493" s="8" t="s">
        <v>1564</v>
      </c>
      <c r="E1493" s="39">
        <v>200000</v>
      </c>
      <c r="F1493" s="40" t="s">
        <v>1552</v>
      </c>
    </row>
    <row r="1494" spans="2:6" hidden="1">
      <c r="B1494" s="8">
        <v>1491</v>
      </c>
      <c r="C1494" s="8" t="s">
        <v>465</v>
      </c>
      <c r="D1494" s="8" t="s">
        <v>1636</v>
      </c>
      <c r="E1494" s="39">
        <v>974000</v>
      </c>
      <c r="F1494" s="40" t="s">
        <v>1552</v>
      </c>
    </row>
    <row r="1495" spans="2:6" hidden="1">
      <c r="B1495" s="8">
        <v>1492</v>
      </c>
      <c r="C1495" s="8" t="s">
        <v>465</v>
      </c>
      <c r="D1495" s="8" t="s">
        <v>1637</v>
      </c>
      <c r="E1495" s="39">
        <v>185000</v>
      </c>
      <c r="F1495" s="40" t="s">
        <v>1552</v>
      </c>
    </row>
    <row r="1496" spans="2:6" hidden="1">
      <c r="B1496" s="8">
        <v>1493</v>
      </c>
      <c r="C1496" s="8" t="s">
        <v>1638</v>
      </c>
      <c r="D1496" s="8" t="s">
        <v>204</v>
      </c>
      <c r="E1496" s="39">
        <v>334000</v>
      </c>
      <c r="F1496" s="40" t="s">
        <v>1552</v>
      </c>
    </row>
    <row r="1497" spans="2:6" hidden="1">
      <c r="B1497" s="8">
        <v>1494</v>
      </c>
      <c r="C1497" s="8" t="s">
        <v>466</v>
      </c>
      <c r="D1497" s="8" t="s">
        <v>500</v>
      </c>
      <c r="E1497" s="39">
        <v>69000</v>
      </c>
      <c r="F1497" s="40" t="s">
        <v>1552</v>
      </c>
    </row>
    <row r="1498" spans="2:6" hidden="1">
      <c r="B1498" s="8">
        <v>1495</v>
      </c>
      <c r="C1498" s="8" t="s">
        <v>466</v>
      </c>
      <c r="D1498" s="8" t="s">
        <v>1639</v>
      </c>
      <c r="E1498" s="39">
        <v>461000</v>
      </c>
      <c r="F1498" s="40" t="s">
        <v>1552</v>
      </c>
    </row>
    <row r="1499" spans="2:6" hidden="1">
      <c r="B1499" s="8">
        <v>1496</v>
      </c>
      <c r="C1499" s="8" t="s">
        <v>1640</v>
      </c>
      <c r="D1499" s="8" t="s">
        <v>1641</v>
      </c>
      <c r="E1499" s="39">
        <v>463000</v>
      </c>
      <c r="F1499" s="40" t="s">
        <v>1552</v>
      </c>
    </row>
    <row r="1500" spans="2:6" hidden="1">
      <c r="B1500" s="8">
        <v>1497</v>
      </c>
      <c r="C1500" s="8" t="s">
        <v>1209</v>
      </c>
      <c r="D1500" s="8" t="s">
        <v>1642</v>
      </c>
      <c r="E1500" s="39">
        <v>321000</v>
      </c>
      <c r="F1500" s="40" t="s">
        <v>1552</v>
      </c>
    </row>
    <row r="1501" spans="2:6" hidden="1">
      <c r="B1501" s="8">
        <v>1498</v>
      </c>
      <c r="C1501" s="8" t="s">
        <v>470</v>
      </c>
      <c r="D1501" s="8" t="s">
        <v>256</v>
      </c>
      <c r="E1501" s="39">
        <v>53000</v>
      </c>
      <c r="F1501" s="40" t="s">
        <v>1552</v>
      </c>
    </row>
    <row r="1502" spans="2:6" hidden="1">
      <c r="B1502" s="8">
        <v>1499</v>
      </c>
      <c r="C1502" s="8" t="s">
        <v>470</v>
      </c>
      <c r="D1502" s="8" t="s">
        <v>1643</v>
      </c>
      <c r="E1502" s="39">
        <v>267000</v>
      </c>
      <c r="F1502" s="40" t="s">
        <v>1552</v>
      </c>
    </row>
    <row r="1503" spans="2:6" hidden="1">
      <c r="B1503" s="8">
        <v>1500</v>
      </c>
      <c r="C1503" s="8" t="s">
        <v>470</v>
      </c>
      <c r="D1503" s="8" t="s">
        <v>198</v>
      </c>
      <c r="E1503" s="39">
        <v>921000</v>
      </c>
      <c r="F1503" s="40" t="s">
        <v>1552</v>
      </c>
    </row>
    <row r="1504" spans="2:6" hidden="1">
      <c r="B1504" s="8">
        <v>1501</v>
      </c>
      <c r="C1504" s="8" t="s">
        <v>471</v>
      </c>
      <c r="D1504" s="8" t="s">
        <v>211</v>
      </c>
      <c r="E1504" s="39">
        <v>620000</v>
      </c>
      <c r="F1504" s="40" t="s">
        <v>1552</v>
      </c>
    </row>
    <row r="1505" spans="2:6" hidden="1">
      <c r="B1505" s="8">
        <v>1502</v>
      </c>
      <c r="C1505" s="8" t="s">
        <v>471</v>
      </c>
      <c r="D1505" s="8" t="s">
        <v>1644</v>
      </c>
      <c r="E1505" s="39">
        <v>1885000</v>
      </c>
      <c r="F1505" s="40" t="s">
        <v>1552</v>
      </c>
    </row>
    <row r="1506" spans="2:6" hidden="1">
      <c r="B1506" s="8">
        <v>1503</v>
      </c>
      <c r="C1506" s="8" t="s">
        <v>471</v>
      </c>
      <c r="D1506" s="8" t="s">
        <v>1645</v>
      </c>
      <c r="E1506" s="39">
        <v>138000</v>
      </c>
      <c r="F1506" s="40" t="s">
        <v>1552</v>
      </c>
    </row>
    <row r="1507" spans="2:6" hidden="1">
      <c r="B1507" s="8">
        <v>1504</v>
      </c>
      <c r="C1507" s="8" t="s">
        <v>1211</v>
      </c>
      <c r="D1507" s="8" t="s">
        <v>1646</v>
      </c>
      <c r="E1507" s="39">
        <v>143000</v>
      </c>
      <c r="F1507" s="40" t="s">
        <v>1552</v>
      </c>
    </row>
    <row r="1508" spans="2:6" hidden="1">
      <c r="B1508" s="8">
        <v>1505</v>
      </c>
      <c r="C1508" s="8" t="s">
        <v>1211</v>
      </c>
      <c r="D1508" s="8" t="s">
        <v>1647</v>
      </c>
      <c r="E1508" s="39">
        <v>3331000</v>
      </c>
      <c r="F1508" s="40" t="s">
        <v>1552</v>
      </c>
    </row>
    <row r="1509" spans="2:6" hidden="1">
      <c r="B1509" s="8">
        <v>1506</v>
      </c>
      <c r="C1509" s="8" t="s">
        <v>473</v>
      </c>
      <c r="D1509" s="8" t="s">
        <v>1564</v>
      </c>
      <c r="E1509" s="39">
        <v>200000</v>
      </c>
      <c r="F1509" s="40" t="s">
        <v>1552</v>
      </c>
    </row>
    <row r="1510" spans="2:6" hidden="1">
      <c r="B1510" s="8">
        <v>1507</v>
      </c>
      <c r="C1510" s="8" t="s">
        <v>477</v>
      </c>
      <c r="D1510" s="8" t="s">
        <v>1287</v>
      </c>
      <c r="E1510" s="39">
        <v>933000</v>
      </c>
      <c r="F1510" s="40" t="s">
        <v>1552</v>
      </c>
    </row>
    <row r="1511" spans="2:6" hidden="1">
      <c r="B1511" s="8">
        <v>1508</v>
      </c>
      <c r="C1511" s="8" t="s">
        <v>478</v>
      </c>
      <c r="D1511" s="8" t="s">
        <v>1160</v>
      </c>
      <c r="E1511" s="39">
        <v>77000</v>
      </c>
      <c r="F1511" s="40" t="s">
        <v>1552</v>
      </c>
    </row>
    <row r="1512" spans="2:6" hidden="1">
      <c r="B1512" s="8">
        <v>1509</v>
      </c>
      <c r="C1512" s="8" t="s">
        <v>478</v>
      </c>
      <c r="D1512" s="8" t="s">
        <v>907</v>
      </c>
      <c r="E1512" s="39">
        <v>154000</v>
      </c>
      <c r="F1512" s="40" t="s">
        <v>1552</v>
      </c>
    </row>
    <row r="1513" spans="2:6" hidden="1">
      <c r="B1513" s="8">
        <v>1510</v>
      </c>
      <c r="C1513" s="8" t="s">
        <v>481</v>
      </c>
      <c r="D1513" s="8" t="s">
        <v>345</v>
      </c>
      <c r="E1513" s="39">
        <v>443000</v>
      </c>
      <c r="F1513" s="40" t="s">
        <v>1552</v>
      </c>
    </row>
    <row r="1514" spans="2:6" hidden="1">
      <c r="B1514" s="8">
        <v>1511</v>
      </c>
      <c r="C1514" s="8" t="s">
        <v>483</v>
      </c>
      <c r="D1514" s="8" t="s">
        <v>907</v>
      </c>
      <c r="E1514" s="39">
        <v>167000</v>
      </c>
      <c r="F1514" s="40" t="s">
        <v>1552</v>
      </c>
    </row>
    <row r="1515" spans="2:6" hidden="1">
      <c r="B1515" s="8">
        <v>1512</v>
      </c>
      <c r="C1515" s="8" t="s">
        <v>483</v>
      </c>
      <c r="D1515" s="8" t="s">
        <v>199</v>
      </c>
      <c r="E1515" s="39">
        <v>210000</v>
      </c>
      <c r="F1515" s="40" t="s">
        <v>1552</v>
      </c>
    </row>
    <row r="1516" spans="2:6" hidden="1">
      <c r="B1516" s="8">
        <v>1513</v>
      </c>
      <c r="C1516" s="8" t="s">
        <v>1648</v>
      </c>
      <c r="D1516" s="8" t="s">
        <v>1649</v>
      </c>
      <c r="E1516" s="39">
        <v>362000</v>
      </c>
      <c r="F1516" s="40" t="s">
        <v>1552</v>
      </c>
    </row>
    <row r="1517" spans="2:6" hidden="1">
      <c r="B1517" s="8">
        <v>1514</v>
      </c>
      <c r="C1517" s="8" t="s">
        <v>1214</v>
      </c>
      <c r="D1517" s="8" t="s">
        <v>1650</v>
      </c>
      <c r="E1517" s="39">
        <v>81000</v>
      </c>
      <c r="F1517" s="40" t="s">
        <v>1552</v>
      </c>
    </row>
    <row r="1518" spans="2:6" hidden="1">
      <c r="B1518" s="8">
        <v>1515</v>
      </c>
      <c r="C1518" s="8" t="s">
        <v>1214</v>
      </c>
      <c r="D1518" s="8" t="s">
        <v>1264</v>
      </c>
      <c r="E1518" s="39">
        <v>504000</v>
      </c>
      <c r="F1518" s="40" t="s">
        <v>1552</v>
      </c>
    </row>
    <row r="1519" spans="2:6" hidden="1">
      <c r="B1519" s="8">
        <v>1516</v>
      </c>
      <c r="C1519" s="8" t="s">
        <v>1651</v>
      </c>
      <c r="D1519" s="8" t="s">
        <v>1564</v>
      </c>
      <c r="E1519" s="39">
        <v>200000</v>
      </c>
      <c r="F1519" s="40" t="s">
        <v>1552</v>
      </c>
    </row>
    <row r="1520" spans="2:6" hidden="1">
      <c r="B1520" s="8">
        <v>1517</v>
      </c>
      <c r="C1520" s="8" t="s">
        <v>485</v>
      </c>
      <c r="D1520" s="8" t="s">
        <v>534</v>
      </c>
      <c r="E1520" s="39">
        <v>446000</v>
      </c>
      <c r="F1520" s="40" t="s">
        <v>1552</v>
      </c>
    </row>
    <row r="1521" spans="2:6" hidden="1">
      <c r="B1521" s="8">
        <v>1518</v>
      </c>
      <c r="C1521" s="8" t="s">
        <v>485</v>
      </c>
      <c r="D1521" s="8" t="s">
        <v>339</v>
      </c>
      <c r="E1521" s="39">
        <v>79000</v>
      </c>
      <c r="F1521" s="40" t="s">
        <v>1552</v>
      </c>
    </row>
    <row r="1522" spans="2:6" hidden="1">
      <c r="B1522" s="8">
        <v>1519</v>
      </c>
      <c r="C1522" s="8" t="s">
        <v>1652</v>
      </c>
      <c r="D1522" s="8" t="s">
        <v>1653</v>
      </c>
      <c r="E1522" s="39">
        <v>10000</v>
      </c>
      <c r="F1522" s="40" t="s">
        <v>1552</v>
      </c>
    </row>
    <row r="1523" spans="2:6" hidden="1">
      <c r="B1523" s="8">
        <v>1520</v>
      </c>
      <c r="C1523" s="8" t="s">
        <v>1652</v>
      </c>
      <c r="D1523" s="8" t="s">
        <v>924</v>
      </c>
      <c r="E1523" s="39">
        <v>320000</v>
      </c>
      <c r="F1523" s="40" t="s">
        <v>1552</v>
      </c>
    </row>
    <row r="1524" spans="2:6" hidden="1">
      <c r="B1524" s="8">
        <v>1521</v>
      </c>
      <c r="C1524" s="8" t="s">
        <v>1652</v>
      </c>
      <c r="D1524" s="8" t="s">
        <v>217</v>
      </c>
      <c r="E1524" s="39">
        <v>476000</v>
      </c>
      <c r="F1524" s="40" t="s">
        <v>1552</v>
      </c>
    </row>
    <row r="1525" spans="2:6" hidden="1">
      <c r="B1525" s="8">
        <v>1522</v>
      </c>
      <c r="C1525" s="8" t="s">
        <v>1216</v>
      </c>
      <c r="D1525" s="8" t="s">
        <v>1654</v>
      </c>
      <c r="E1525" s="39">
        <v>207000</v>
      </c>
      <c r="F1525" s="40" t="s">
        <v>1552</v>
      </c>
    </row>
    <row r="1526" spans="2:6" hidden="1">
      <c r="B1526" s="8">
        <v>1523</v>
      </c>
      <c r="C1526" s="8" t="s">
        <v>1218</v>
      </c>
      <c r="D1526" s="8" t="s">
        <v>1655</v>
      </c>
      <c r="E1526" s="39">
        <v>246000</v>
      </c>
      <c r="F1526" s="40" t="s">
        <v>1552</v>
      </c>
    </row>
    <row r="1527" spans="2:6" hidden="1">
      <c r="B1527" s="8">
        <v>1524</v>
      </c>
      <c r="C1527" s="8" t="s">
        <v>1218</v>
      </c>
      <c r="D1527" s="8" t="s">
        <v>1656</v>
      </c>
      <c r="E1527" s="39">
        <v>178000</v>
      </c>
      <c r="F1527" s="40" t="s">
        <v>1552</v>
      </c>
    </row>
    <row r="1528" spans="2:6" hidden="1">
      <c r="B1528" s="8">
        <v>1525</v>
      </c>
      <c r="C1528" s="8" t="s">
        <v>1218</v>
      </c>
      <c r="D1528" s="8" t="s">
        <v>317</v>
      </c>
      <c r="E1528" s="39">
        <v>268000</v>
      </c>
      <c r="F1528" s="40" t="s">
        <v>1552</v>
      </c>
    </row>
    <row r="1529" spans="2:6" hidden="1">
      <c r="B1529" s="8">
        <v>1526</v>
      </c>
      <c r="C1529" s="8" t="s">
        <v>491</v>
      </c>
      <c r="D1529" s="8" t="s">
        <v>1657</v>
      </c>
      <c r="E1529" s="39">
        <v>247000</v>
      </c>
      <c r="F1529" s="40" t="s">
        <v>1552</v>
      </c>
    </row>
    <row r="1530" spans="2:6" hidden="1">
      <c r="B1530" s="8">
        <v>1527</v>
      </c>
      <c r="C1530" s="8" t="s">
        <v>492</v>
      </c>
      <c r="D1530" s="8" t="s">
        <v>211</v>
      </c>
      <c r="E1530" s="39">
        <v>321000</v>
      </c>
      <c r="F1530" s="40" t="s">
        <v>1552</v>
      </c>
    </row>
    <row r="1531" spans="2:6" hidden="1">
      <c r="B1531" s="8">
        <v>1528</v>
      </c>
      <c r="C1531" s="8" t="s">
        <v>497</v>
      </c>
      <c r="D1531" s="8" t="s">
        <v>211</v>
      </c>
      <c r="E1531" s="39">
        <v>123000</v>
      </c>
      <c r="F1531" s="40" t="s">
        <v>1552</v>
      </c>
    </row>
    <row r="1532" spans="2:6" hidden="1">
      <c r="B1532" s="8">
        <v>1529</v>
      </c>
      <c r="C1532" s="8" t="s">
        <v>497</v>
      </c>
      <c r="D1532" s="8" t="s">
        <v>317</v>
      </c>
      <c r="E1532" s="39">
        <v>328000</v>
      </c>
      <c r="F1532" s="40" t="s">
        <v>1552</v>
      </c>
    </row>
    <row r="1533" spans="2:6" hidden="1">
      <c r="B1533" s="8">
        <v>1530</v>
      </c>
      <c r="C1533" s="8" t="s">
        <v>499</v>
      </c>
      <c r="D1533" s="8" t="s">
        <v>217</v>
      </c>
      <c r="E1533" s="39">
        <v>2178000</v>
      </c>
      <c r="F1533" s="40" t="s">
        <v>1552</v>
      </c>
    </row>
    <row r="1534" spans="2:6" hidden="1">
      <c r="B1534" s="8">
        <v>1531</v>
      </c>
      <c r="C1534" s="8" t="s">
        <v>505</v>
      </c>
      <c r="D1534" s="8" t="s">
        <v>1564</v>
      </c>
      <c r="E1534" s="39">
        <v>200000</v>
      </c>
      <c r="F1534" s="40" t="s">
        <v>1552</v>
      </c>
    </row>
    <row r="1535" spans="2:6" hidden="1">
      <c r="B1535" s="8">
        <v>1532</v>
      </c>
      <c r="C1535" s="8" t="s">
        <v>506</v>
      </c>
      <c r="D1535" s="8" t="s">
        <v>1658</v>
      </c>
      <c r="E1535" s="39">
        <v>481000</v>
      </c>
      <c r="F1535" s="40" t="s">
        <v>1552</v>
      </c>
    </row>
    <row r="1536" spans="2:6" hidden="1">
      <c r="B1536" s="8">
        <v>1533</v>
      </c>
      <c r="C1536" s="8" t="s">
        <v>506</v>
      </c>
      <c r="D1536" s="8" t="s">
        <v>319</v>
      </c>
      <c r="E1536" s="39">
        <v>319000</v>
      </c>
      <c r="F1536" s="40" t="s">
        <v>1552</v>
      </c>
    </row>
    <row r="1537" spans="2:6" hidden="1">
      <c r="B1537" s="8">
        <v>1534</v>
      </c>
      <c r="C1537" s="8" t="s">
        <v>1659</v>
      </c>
      <c r="D1537" s="8" t="s">
        <v>217</v>
      </c>
      <c r="E1537" s="39">
        <v>273000</v>
      </c>
      <c r="F1537" s="40" t="s">
        <v>1552</v>
      </c>
    </row>
    <row r="1538" spans="2:6" hidden="1">
      <c r="B1538" s="8">
        <v>1535</v>
      </c>
      <c r="C1538" s="8" t="s">
        <v>1659</v>
      </c>
      <c r="D1538" s="8" t="s">
        <v>1564</v>
      </c>
      <c r="E1538" s="39">
        <v>200000</v>
      </c>
      <c r="F1538" s="40" t="s">
        <v>1552</v>
      </c>
    </row>
    <row r="1539" spans="2:6" hidden="1">
      <c r="B1539" s="8">
        <v>1536</v>
      </c>
      <c r="C1539" s="8" t="s">
        <v>514</v>
      </c>
      <c r="D1539" s="8" t="s">
        <v>317</v>
      </c>
      <c r="E1539" s="39">
        <v>459000</v>
      </c>
      <c r="F1539" s="40" t="s">
        <v>1552</v>
      </c>
    </row>
    <row r="1540" spans="2:6" hidden="1">
      <c r="B1540" s="8">
        <v>1537</v>
      </c>
      <c r="C1540" s="8" t="s">
        <v>1233</v>
      </c>
      <c r="D1540" s="8" t="s">
        <v>198</v>
      </c>
      <c r="E1540" s="39">
        <v>572000</v>
      </c>
      <c r="F1540" s="40" t="s">
        <v>1552</v>
      </c>
    </row>
    <row r="1541" spans="2:6" hidden="1">
      <c r="B1541" s="8">
        <v>1538</v>
      </c>
      <c r="C1541" s="8" t="s">
        <v>1233</v>
      </c>
      <c r="D1541" s="8" t="s">
        <v>211</v>
      </c>
      <c r="E1541" s="39">
        <v>290000</v>
      </c>
      <c r="F1541" s="40" t="s">
        <v>1552</v>
      </c>
    </row>
    <row r="1542" spans="2:6" hidden="1">
      <c r="B1542" s="8">
        <v>1539</v>
      </c>
      <c r="C1542" s="8" t="s">
        <v>1660</v>
      </c>
      <c r="D1542" s="8" t="s">
        <v>1564</v>
      </c>
      <c r="E1542" s="39">
        <v>200000</v>
      </c>
      <c r="F1542" s="40" t="s">
        <v>1552</v>
      </c>
    </row>
    <row r="1543" spans="2:6" hidden="1">
      <c r="B1543" s="8">
        <v>1540</v>
      </c>
      <c r="C1543" s="8" t="s">
        <v>515</v>
      </c>
      <c r="D1543" s="8" t="s">
        <v>1564</v>
      </c>
      <c r="E1543" s="39">
        <v>200000</v>
      </c>
      <c r="F1543" s="40" t="s">
        <v>1552</v>
      </c>
    </row>
    <row r="1544" spans="2:6" hidden="1">
      <c r="B1544" s="8">
        <v>1541</v>
      </c>
      <c r="C1544" s="8" t="s">
        <v>515</v>
      </c>
      <c r="D1544" s="8" t="s">
        <v>534</v>
      </c>
      <c r="E1544" s="39">
        <v>122000</v>
      </c>
      <c r="F1544" s="40" t="s">
        <v>1552</v>
      </c>
    </row>
    <row r="1545" spans="2:6" hidden="1">
      <c r="B1545" s="8">
        <v>1542</v>
      </c>
      <c r="C1545" s="8" t="s">
        <v>1661</v>
      </c>
      <c r="D1545" s="8" t="s">
        <v>217</v>
      </c>
      <c r="E1545" s="39">
        <v>712000</v>
      </c>
      <c r="F1545" s="40" t="s">
        <v>1552</v>
      </c>
    </row>
    <row r="1546" spans="2:6" hidden="1">
      <c r="B1546" s="8">
        <v>1543</v>
      </c>
      <c r="C1546" s="8" t="s">
        <v>1661</v>
      </c>
      <c r="D1546" s="8" t="s">
        <v>1564</v>
      </c>
      <c r="E1546" s="39">
        <v>200000</v>
      </c>
      <c r="F1546" s="40" t="s">
        <v>1552</v>
      </c>
    </row>
    <row r="1547" spans="2:6" hidden="1">
      <c r="B1547" s="8">
        <v>1544</v>
      </c>
      <c r="C1547" s="8" t="s">
        <v>517</v>
      </c>
      <c r="D1547" s="8" t="s">
        <v>1662</v>
      </c>
      <c r="E1547" s="39">
        <v>97000</v>
      </c>
      <c r="F1547" s="40" t="s">
        <v>1552</v>
      </c>
    </row>
    <row r="1548" spans="2:6" hidden="1">
      <c r="B1548" s="8">
        <v>1545</v>
      </c>
      <c r="C1548" s="8" t="s">
        <v>519</v>
      </c>
      <c r="D1548" s="8" t="s">
        <v>1663</v>
      </c>
      <c r="E1548" s="39">
        <v>196000</v>
      </c>
      <c r="F1548" s="40" t="s">
        <v>1552</v>
      </c>
    </row>
    <row r="1549" spans="2:6" hidden="1">
      <c r="B1549" s="8">
        <v>1546</v>
      </c>
      <c r="C1549" s="8" t="s">
        <v>519</v>
      </c>
      <c r="D1549" s="8" t="s">
        <v>1641</v>
      </c>
      <c r="E1549" s="39">
        <v>587000</v>
      </c>
      <c r="F1549" s="40" t="s">
        <v>1552</v>
      </c>
    </row>
    <row r="1550" spans="2:6" hidden="1">
      <c r="B1550" s="8">
        <v>1547</v>
      </c>
      <c r="C1550" s="8" t="s">
        <v>519</v>
      </c>
      <c r="D1550" s="8" t="s">
        <v>405</v>
      </c>
      <c r="E1550" s="39">
        <v>121000</v>
      </c>
      <c r="F1550" s="40" t="s">
        <v>1552</v>
      </c>
    </row>
    <row r="1551" spans="2:6" hidden="1">
      <c r="B1551" s="8">
        <v>1548</v>
      </c>
      <c r="C1551" s="8" t="s">
        <v>520</v>
      </c>
      <c r="D1551" s="8" t="s">
        <v>1664</v>
      </c>
      <c r="E1551" s="39">
        <v>185000</v>
      </c>
      <c r="F1551" s="40" t="s">
        <v>1552</v>
      </c>
    </row>
    <row r="1552" spans="2:6" hidden="1">
      <c r="B1552" s="8">
        <v>1549</v>
      </c>
      <c r="C1552" s="8" t="s">
        <v>521</v>
      </c>
      <c r="D1552" s="8" t="s">
        <v>211</v>
      </c>
      <c r="E1552" s="39">
        <v>321000</v>
      </c>
      <c r="F1552" s="40" t="s">
        <v>1552</v>
      </c>
    </row>
    <row r="1553" spans="2:6" hidden="1">
      <c r="B1553" s="8">
        <v>1550</v>
      </c>
      <c r="C1553" s="8" t="s">
        <v>521</v>
      </c>
      <c r="D1553" s="8" t="s">
        <v>291</v>
      </c>
      <c r="E1553" s="39">
        <v>206000</v>
      </c>
      <c r="F1553" s="40" t="s">
        <v>1552</v>
      </c>
    </row>
    <row r="1554" spans="2:6" hidden="1">
      <c r="B1554" s="8">
        <v>1551</v>
      </c>
      <c r="C1554" s="8" t="s">
        <v>525</v>
      </c>
      <c r="D1554" s="8" t="s">
        <v>198</v>
      </c>
      <c r="E1554" s="39">
        <v>561000</v>
      </c>
      <c r="F1554" s="40" t="s">
        <v>1552</v>
      </c>
    </row>
    <row r="1555" spans="2:6" hidden="1">
      <c r="B1555" s="8">
        <v>1552</v>
      </c>
      <c r="C1555" s="8" t="s">
        <v>1665</v>
      </c>
      <c r="D1555" s="8" t="s">
        <v>345</v>
      </c>
      <c r="E1555" s="39">
        <v>766000</v>
      </c>
      <c r="F1555" s="40" t="s">
        <v>1552</v>
      </c>
    </row>
    <row r="1556" spans="2:6" hidden="1">
      <c r="B1556" s="8">
        <v>1553</v>
      </c>
      <c r="C1556" s="8" t="s">
        <v>529</v>
      </c>
      <c r="D1556" s="8" t="s">
        <v>804</v>
      </c>
      <c r="E1556" s="39">
        <v>197000</v>
      </c>
      <c r="F1556" s="40" t="s">
        <v>1552</v>
      </c>
    </row>
    <row r="1557" spans="2:6" hidden="1">
      <c r="B1557" s="8">
        <v>1554</v>
      </c>
      <c r="C1557" s="8" t="s">
        <v>530</v>
      </c>
      <c r="D1557" s="8" t="s">
        <v>1666</v>
      </c>
      <c r="E1557" s="39">
        <v>391000</v>
      </c>
      <c r="F1557" s="40" t="s">
        <v>1552</v>
      </c>
    </row>
    <row r="1558" spans="2:6" hidden="1">
      <c r="B1558" s="8">
        <v>1555</v>
      </c>
      <c r="C1558" s="8" t="s">
        <v>532</v>
      </c>
      <c r="D1558" s="8" t="s">
        <v>714</v>
      </c>
      <c r="E1558" s="39">
        <v>108000</v>
      </c>
      <c r="F1558" s="40" t="s">
        <v>1552</v>
      </c>
    </row>
    <row r="1559" spans="2:6" hidden="1">
      <c r="B1559" s="8">
        <v>1556</v>
      </c>
      <c r="C1559" s="8" t="s">
        <v>532</v>
      </c>
      <c r="D1559" s="8" t="s">
        <v>275</v>
      </c>
      <c r="E1559" s="39">
        <v>154000</v>
      </c>
      <c r="F1559" s="40" t="s">
        <v>1552</v>
      </c>
    </row>
    <row r="1560" spans="2:6" hidden="1">
      <c r="B1560" s="8">
        <v>1557</v>
      </c>
      <c r="C1560" s="8" t="s">
        <v>532</v>
      </c>
      <c r="D1560" s="8" t="s">
        <v>1564</v>
      </c>
      <c r="E1560" s="39">
        <v>200000</v>
      </c>
      <c r="F1560" s="40" t="s">
        <v>1552</v>
      </c>
    </row>
    <row r="1561" spans="2:6" hidden="1">
      <c r="B1561" s="8">
        <v>1558</v>
      </c>
      <c r="C1561" s="8" t="s">
        <v>532</v>
      </c>
      <c r="D1561" s="8" t="s">
        <v>534</v>
      </c>
      <c r="E1561" s="39">
        <v>232000</v>
      </c>
      <c r="F1561" s="40" t="s">
        <v>1552</v>
      </c>
    </row>
    <row r="1562" spans="2:6" hidden="1">
      <c r="B1562" s="8">
        <v>1559</v>
      </c>
      <c r="C1562" s="8" t="s">
        <v>1241</v>
      </c>
      <c r="D1562" s="8" t="s">
        <v>608</v>
      </c>
      <c r="E1562" s="39">
        <v>154000</v>
      </c>
      <c r="F1562" s="40" t="s">
        <v>1552</v>
      </c>
    </row>
    <row r="1563" spans="2:6" hidden="1">
      <c r="B1563" s="8">
        <v>1560</v>
      </c>
      <c r="C1563" s="8" t="s">
        <v>1241</v>
      </c>
      <c r="D1563" s="8" t="s">
        <v>1667</v>
      </c>
      <c r="E1563" s="39">
        <v>84000</v>
      </c>
      <c r="F1563" s="40" t="s">
        <v>1552</v>
      </c>
    </row>
    <row r="1564" spans="2:6" hidden="1">
      <c r="B1564" s="8">
        <v>1561</v>
      </c>
      <c r="C1564" s="8" t="s">
        <v>1668</v>
      </c>
      <c r="D1564" s="8" t="s">
        <v>319</v>
      </c>
      <c r="E1564" s="39">
        <v>180000</v>
      </c>
      <c r="F1564" s="40" t="s">
        <v>1552</v>
      </c>
    </row>
    <row r="1565" spans="2:6" hidden="1">
      <c r="B1565" s="8">
        <v>1562</v>
      </c>
      <c r="C1565" s="8" t="s">
        <v>1668</v>
      </c>
      <c r="D1565" s="8" t="s">
        <v>211</v>
      </c>
      <c r="E1565" s="39">
        <v>694000</v>
      </c>
      <c r="F1565" s="40" t="s">
        <v>1552</v>
      </c>
    </row>
    <row r="1566" spans="2:6" hidden="1">
      <c r="B1566" s="8">
        <v>1563</v>
      </c>
      <c r="C1566" s="8" t="s">
        <v>1668</v>
      </c>
      <c r="D1566" s="8" t="s">
        <v>1564</v>
      </c>
      <c r="E1566" s="39">
        <v>200000</v>
      </c>
      <c r="F1566" s="40" t="s">
        <v>1552</v>
      </c>
    </row>
    <row r="1567" spans="2:6" hidden="1">
      <c r="B1567" s="8">
        <v>1564</v>
      </c>
      <c r="C1567" s="8" t="s">
        <v>1668</v>
      </c>
      <c r="D1567" s="8" t="s">
        <v>1669</v>
      </c>
      <c r="E1567" s="39">
        <v>187000</v>
      </c>
      <c r="F1567" s="40" t="s">
        <v>1552</v>
      </c>
    </row>
    <row r="1568" spans="2:6" hidden="1">
      <c r="B1568" s="8">
        <v>1565</v>
      </c>
      <c r="C1568" s="8" t="s">
        <v>537</v>
      </c>
      <c r="D1568" s="8" t="s">
        <v>1564</v>
      </c>
      <c r="E1568" s="39">
        <v>200000</v>
      </c>
      <c r="F1568" s="40" t="s">
        <v>1552</v>
      </c>
    </row>
    <row r="1569" spans="2:6" hidden="1">
      <c r="B1569" s="8">
        <v>1566</v>
      </c>
      <c r="C1569" s="8" t="s">
        <v>539</v>
      </c>
      <c r="D1569" s="8" t="s">
        <v>204</v>
      </c>
      <c r="E1569" s="39">
        <v>316000</v>
      </c>
      <c r="F1569" s="40" t="s">
        <v>1552</v>
      </c>
    </row>
    <row r="1570" spans="2:6" hidden="1">
      <c r="B1570" s="8">
        <v>1567</v>
      </c>
      <c r="C1570" s="8" t="s">
        <v>545</v>
      </c>
      <c r="D1570" s="8" t="s">
        <v>1564</v>
      </c>
      <c r="E1570" s="39">
        <v>200000</v>
      </c>
      <c r="F1570" s="40" t="s">
        <v>1552</v>
      </c>
    </row>
    <row r="1571" spans="2:6" hidden="1">
      <c r="B1571" s="8">
        <v>1568</v>
      </c>
      <c r="C1571" s="8" t="s">
        <v>545</v>
      </c>
      <c r="D1571" s="8" t="s">
        <v>1670</v>
      </c>
      <c r="E1571" s="39">
        <v>333000</v>
      </c>
      <c r="F1571" s="40" t="s">
        <v>1552</v>
      </c>
    </row>
    <row r="1572" spans="2:6" hidden="1">
      <c r="B1572" s="8">
        <v>1569</v>
      </c>
      <c r="C1572" s="8" t="s">
        <v>545</v>
      </c>
      <c r="D1572" s="8" t="s">
        <v>1671</v>
      </c>
      <c r="E1572" s="39">
        <v>154000</v>
      </c>
      <c r="F1572" s="40" t="s">
        <v>1552</v>
      </c>
    </row>
    <row r="1573" spans="2:6" hidden="1">
      <c r="B1573" s="8">
        <v>1570</v>
      </c>
      <c r="C1573" s="8" t="s">
        <v>1672</v>
      </c>
      <c r="D1573" s="8" t="s">
        <v>823</v>
      </c>
      <c r="E1573" s="39">
        <v>136000</v>
      </c>
      <c r="F1573" s="40" t="s">
        <v>1552</v>
      </c>
    </row>
    <row r="1574" spans="2:6" hidden="1">
      <c r="B1574" s="8">
        <v>1571</v>
      </c>
      <c r="C1574" s="8" t="s">
        <v>547</v>
      </c>
      <c r="D1574" s="8" t="s">
        <v>1673</v>
      </c>
      <c r="E1574" s="39">
        <v>76000</v>
      </c>
      <c r="F1574" s="40" t="s">
        <v>1552</v>
      </c>
    </row>
    <row r="1575" spans="2:6" hidden="1">
      <c r="B1575" s="8">
        <v>1572</v>
      </c>
      <c r="C1575" s="8" t="s">
        <v>556</v>
      </c>
      <c r="D1575" s="8" t="s">
        <v>1564</v>
      </c>
      <c r="E1575" s="39">
        <v>200000</v>
      </c>
      <c r="F1575" s="40" t="s">
        <v>1552</v>
      </c>
    </row>
    <row r="1576" spans="2:6" hidden="1">
      <c r="B1576" s="8">
        <v>1573</v>
      </c>
      <c r="C1576" s="8" t="s">
        <v>556</v>
      </c>
      <c r="D1576" s="8" t="s">
        <v>1559</v>
      </c>
      <c r="E1576" s="39">
        <v>606000</v>
      </c>
      <c r="F1576" s="40" t="s">
        <v>1552</v>
      </c>
    </row>
    <row r="1577" spans="2:6" hidden="1">
      <c r="B1577" s="8">
        <v>1574</v>
      </c>
      <c r="C1577" s="8" t="s">
        <v>557</v>
      </c>
      <c r="D1577" s="8" t="s">
        <v>1674</v>
      </c>
      <c r="E1577" s="39">
        <v>103000</v>
      </c>
      <c r="F1577" s="40" t="s">
        <v>1552</v>
      </c>
    </row>
    <row r="1578" spans="2:6" hidden="1">
      <c r="B1578" s="8">
        <v>1575</v>
      </c>
      <c r="C1578" s="8" t="s">
        <v>557</v>
      </c>
      <c r="D1578" s="8" t="s">
        <v>217</v>
      </c>
      <c r="E1578" s="39">
        <v>572000</v>
      </c>
      <c r="F1578" s="40" t="s">
        <v>1552</v>
      </c>
    </row>
    <row r="1579" spans="2:6" hidden="1">
      <c r="B1579" s="8">
        <v>1576</v>
      </c>
      <c r="C1579" s="8" t="s">
        <v>1675</v>
      </c>
      <c r="D1579" s="8" t="s">
        <v>1676</v>
      </c>
      <c r="E1579" s="39">
        <v>84000</v>
      </c>
      <c r="F1579" s="40" t="s">
        <v>1552</v>
      </c>
    </row>
    <row r="1580" spans="2:6" hidden="1">
      <c r="B1580" s="8">
        <v>1577</v>
      </c>
      <c r="C1580" s="8" t="s">
        <v>562</v>
      </c>
      <c r="D1580" s="8" t="s">
        <v>1677</v>
      </c>
      <c r="E1580" s="39">
        <v>111000</v>
      </c>
      <c r="F1580" s="40" t="s">
        <v>1552</v>
      </c>
    </row>
    <row r="1581" spans="2:6" hidden="1">
      <c r="B1581" s="8">
        <v>1578</v>
      </c>
      <c r="C1581" s="8" t="s">
        <v>1097</v>
      </c>
      <c r="D1581" s="8" t="s">
        <v>317</v>
      </c>
      <c r="E1581" s="39">
        <v>276000</v>
      </c>
      <c r="F1581" s="40" t="s">
        <v>1552</v>
      </c>
    </row>
    <row r="1582" spans="2:6" hidden="1">
      <c r="B1582" s="8">
        <v>1579</v>
      </c>
      <c r="C1582" s="8" t="s">
        <v>1256</v>
      </c>
      <c r="D1582" s="8" t="s">
        <v>1678</v>
      </c>
      <c r="E1582" s="39">
        <v>879000</v>
      </c>
      <c r="F1582" s="40" t="s">
        <v>1552</v>
      </c>
    </row>
    <row r="1583" spans="2:6" hidden="1">
      <c r="B1583" s="8">
        <v>1580</v>
      </c>
      <c r="C1583" s="8" t="s">
        <v>564</v>
      </c>
      <c r="D1583" s="8" t="s">
        <v>743</v>
      </c>
      <c r="E1583" s="39">
        <v>195000</v>
      </c>
      <c r="F1583" s="40" t="s">
        <v>1552</v>
      </c>
    </row>
    <row r="1584" spans="2:6" hidden="1">
      <c r="B1584" s="8">
        <v>1581</v>
      </c>
      <c r="C1584" s="8" t="s">
        <v>1258</v>
      </c>
      <c r="D1584" s="8" t="s">
        <v>1679</v>
      </c>
      <c r="E1584" s="39">
        <v>122000</v>
      </c>
      <c r="F1584" s="40" t="s">
        <v>1552</v>
      </c>
    </row>
    <row r="1585" spans="2:6" hidden="1">
      <c r="B1585" s="8">
        <v>1582</v>
      </c>
      <c r="C1585" s="8" t="s">
        <v>1680</v>
      </c>
      <c r="D1585" s="8" t="s">
        <v>198</v>
      </c>
      <c r="E1585" s="39">
        <v>1005000</v>
      </c>
      <c r="F1585" s="40" t="s">
        <v>1552</v>
      </c>
    </row>
    <row r="1586" spans="2:6" hidden="1">
      <c r="B1586" s="8">
        <v>1583</v>
      </c>
      <c r="C1586" s="8" t="s">
        <v>1680</v>
      </c>
      <c r="D1586" s="8" t="s">
        <v>1374</v>
      </c>
      <c r="E1586" s="39">
        <v>132000</v>
      </c>
      <c r="F1586" s="40" t="s">
        <v>1552</v>
      </c>
    </row>
    <row r="1587" spans="2:6" hidden="1">
      <c r="B1587" s="8">
        <v>1584</v>
      </c>
      <c r="C1587" s="8" t="s">
        <v>1680</v>
      </c>
      <c r="D1587" s="8" t="s">
        <v>291</v>
      </c>
      <c r="E1587" s="39">
        <v>175000</v>
      </c>
      <c r="F1587" s="40" t="s">
        <v>1552</v>
      </c>
    </row>
    <row r="1588" spans="2:6" hidden="1">
      <c r="B1588" s="8">
        <v>1585</v>
      </c>
      <c r="C1588" s="8" t="s">
        <v>1259</v>
      </c>
      <c r="D1588" s="8" t="s">
        <v>204</v>
      </c>
      <c r="E1588" s="39">
        <v>247000</v>
      </c>
      <c r="F1588" s="40" t="s">
        <v>1552</v>
      </c>
    </row>
    <row r="1589" spans="2:6" hidden="1">
      <c r="B1589" s="8">
        <v>1586</v>
      </c>
      <c r="C1589" s="8" t="s">
        <v>1681</v>
      </c>
      <c r="D1589" s="8" t="s">
        <v>1682</v>
      </c>
      <c r="E1589" s="39">
        <v>123000</v>
      </c>
      <c r="F1589" s="40" t="s">
        <v>1552</v>
      </c>
    </row>
    <row r="1590" spans="2:6" hidden="1">
      <c r="B1590" s="8">
        <v>1587</v>
      </c>
      <c r="C1590" s="8" t="s">
        <v>568</v>
      </c>
      <c r="D1590" s="8" t="s">
        <v>1683</v>
      </c>
      <c r="E1590" s="39">
        <v>169000</v>
      </c>
      <c r="F1590" s="40" t="s">
        <v>1552</v>
      </c>
    </row>
    <row r="1591" spans="2:6" hidden="1">
      <c r="B1591" s="8">
        <v>1588</v>
      </c>
      <c r="C1591" s="8" t="s">
        <v>568</v>
      </c>
      <c r="D1591" s="8" t="s">
        <v>1684</v>
      </c>
      <c r="E1591" s="39">
        <v>774000</v>
      </c>
      <c r="F1591" s="40" t="s">
        <v>1552</v>
      </c>
    </row>
    <row r="1592" spans="2:6" hidden="1">
      <c r="B1592" s="8">
        <v>1589</v>
      </c>
      <c r="C1592" s="8" t="s">
        <v>568</v>
      </c>
      <c r="D1592" s="8" t="s">
        <v>198</v>
      </c>
      <c r="E1592" s="39">
        <v>284000</v>
      </c>
      <c r="F1592" s="40" t="s">
        <v>1552</v>
      </c>
    </row>
    <row r="1593" spans="2:6" hidden="1">
      <c r="B1593" s="8">
        <v>1590</v>
      </c>
      <c r="C1593" s="8" t="s">
        <v>570</v>
      </c>
      <c r="D1593" s="8" t="s">
        <v>1637</v>
      </c>
      <c r="E1593" s="39">
        <v>471000</v>
      </c>
      <c r="F1593" s="40" t="s">
        <v>1552</v>
      </c>
    </row>
    <row r="1594" spans="2:6" hidden="1">
      <c r="B1594" s="8">
        <v>1591</v>
      </c>
      <c r="C1594" s="8" t="s">
        <v>570</v>
      </c>
      <c r="D1594" s="8" t="s">
        <v>1685</v>
      </c>
      <c r="E1594" s="39">
        <v>87000</v>
      </c>
      <c r="F1594" s="40" t="s">
        <v>1552</v>
      </c>
    </row>
    <row r="1595" spans="2:6" hidden="1">
      <c r="B1595" s="8">
        <v>1592</v>
      </c>
      <c r="C1595" s="8" t="s">
        <v>1262</v>
      </c>
      <c r="D1595" s="8" t="s">
        <v>1686</v>
      </c>
      <c r="E1595" s="39">
        <v>669000</v>
      </c>
      <c r="F1595" s="40" t="s">
        <v>1552</v>
      </c>
    </row>
    <row r="1596" spans="2:6" hidden="1">
      <c r="B1596" s="8">
        <v>1593</v>
      </c>
      <c r="C1596" s="8" t="s">
        <v>580</v>
      </c>
      <c r="D1596" s="8" t="s">
        <v>1564</v>
      </c>
      <c r="E1596" s="39">
        <v>200000</v>
      </c>
      <c r="F1596" s="40" t="s">
        <v>1552</v>
      </c>
    </row>
    <row r="1597" spans="2:6" hidden="1">
      <c r="B1597" s="8">
        <v>1594</v>
      </c>
      <c r="C1597" s="8" t="s">
        <v>583</v>
      </c>
      <c r="D1597" s="8" t="s">
        <v>1687</v>
      </c>
      <c r="E1597" s="39">
        <v>467000</v>
      </c>
      <c r="F1597" s="40" t="s">
        <v>1552</v>
      </c>
    </row>
    <row r="1598" spans="2:6" hidden="1">
      <c r="B1598" s="8">
        <v>1595</v>
      </c>
      <c r="C1598" s="8" t="s">
        <v>583</v>
      </c>
      <c r="D1598" s="8" t="s">
        <v>775</v>
      </c>
      <c r="E1598" s="39">
        <v>53000</v>
      </c>
      <c r="F1598" s="40" t="s">
        <v>1552</v>
      </c>
    </row>
    <row r="1599" spans="2:6" hidden="1">
      <c r="B1599" s="8">
        <v>1596</v>
      </c>
      <c r="C1599" s="8" t="s">
        <v>583</v>
      </c>
      <c r="D1599" s="8" t="s">
        <v>1688</v>
      </c>
      <c r="E1599" s="39">
        <v>111000</v>
      </c>
      <c r="F1599" s="40" t="s">
        <v>1552</v>
      </c>
    </row>
    <row r="1600" spans="2:6" hidden="1">
      <c r="B1600" s="8">
        <v>1597</v>
      </c>
      <c r="C1600" s="8" t="s">
        <v>1689</v>
      </c>
      <c r="D1600" s="8" t="s">
        <v>1411</v>
      </c>
      <c r="E1600" s="39">
        <v>1594000</v>
      </c>
      <c r="F1600" s="40" t="s">
        <v>1552</v>
      </c>
    </row>
    <row r="1601" spans="2:6" hidden="1">
      <c r="B1601" s="8">
        <v>1598</v>
      </c>
      <c r="C1601" s="8" t="s">
        <v>1689</v>
      </c>
      <c r="D1601" s="8" t="s">
        <v>211</v>
      </c>
      <c r="E1601" s="39">
        <v>130000</v>
      </c>
      <c r="F1601" s="40" t="s">
        <v>1552</v>
      </c>
    </row>
    <row r="1602" spans="2:6" hidden="1">
      <c r="B1602" s="8">
        <v>1599</v>
      </c>
      <c r="C1602" s="8" t="s">
        <v>1690</v>
      </c>
      <c r="D1602" s="8" t="s">
        <v>775</v>
      </c>
      <c r="E1602" s="39">
        <v>292000</v>
      </c>
      <c r="F1602" s="40" t="s">
        <v>1552</v>
      </c>
    </row>
    <row r="1603" spans="2:6" hidden="1">
      <c r="B1603" s="8">
        <v>1600</v>
      </c>
      <c r="C1603" s="8" t="s">
        <v>593</v>
      </c>
      <c r="D1603" s="8" t="s">
        <v>1691</v>
      </c>
      <c r="E1603" s="39">
        <v>66000</v>
      </c>
      <c r="F1603" s="40" t="s">
        <v>1552</v>
      </c>
    </row>
    <row r="1604" spans="2:6" hidden="1">
      <c r="B1604" s="8">
        <v>1601</v>
      </c>
      <c r="C1604" s="8" t="s">
        <v>595</v>
      </c>
      <c r="D1604" s="8" t="s">
        <v>1692</v>
      </c>
      <c r="E1604" s="39">
        <v>480000</v>
      </c>
      <c r="F1604" s="40" t="s">
        <v>1552</v>
      </c>
    </row>
    <row r="1605" spans="2:6" hidden="1">
      <c r="B1605" s="8">
        <v>1602</v>
      </c>
      <c r="C1605" s="8" t="s">
        <v>595</v>
      </c>
      <c r="D1605" s="8" t="s">
        <v>640</v>
      </c>
      <c r="E1605" s="39">
        <v>2999000</v>
      </c>
      <c r="F1605" s="40" t="s">
        <v>1552</v>
      </c>
    </row>
    <row r="1606" spans="2:6" hidden="1">
      <c r="B1606" s="8">
        <v>1603</v>
      </c>
      <c r="C1606" s="8" t="s">
        <v>597</v>
      </c>
      <c r="D1606" s="8" t="s">
        <v>211</v>
      </c>
      <c r="E1606" s="39">
        <v>459000</v>
      </c>
      <c r="F1606" s="40" t="s">
        <v>1552</v>
      </c>
    </row>
    <row r="1607" spans="2:6" hidden="1">
      <c r="B1607" s="8">
        <v>1604</v>
      </c>
      <c r="C1607" s="8" t="s">
        <v>1693</v>
      </c>
      <c r="D1607" s="8" t="s">
        <v>211</v>
      </c>
      <c r="E1607" s="39">
        <v>455000</v>
      </c>
      <c r="F1607" s="40" t="s">
        <v>1552</v>
      </c>
    </row>
    <row r="1608" spans="2:6" hidden="1">
      <c r="B1608" s="8">
        <v>1605</v>
      </c>
      <c r="C1608" s="8" t="s">
        <v>1693</v>
      </c>
      <c r="D1608" s="8" t="s">
        <v>204</v>
      </c>
      <c r="E1608" s="39">
        <v>120000</v>
      </c>
      <c r="F1608" s="40" t="s">
        <v>1552</v>
      </c>
    </row>
    <row r="1609" spans="2:6" hidden="1">
      <c r="B1609" s="8">
        <v>1606</v>
      </c>
      <c r="C1609" s="8" t="s">
        <v>1693</v>
      </c>
      <c r="D1609" s="8" t="s">
        <v>1653</v>
      </c>
      <c r="E1609" s="39">
        <v>4220000</v>
      </c>
      <c r="F1609" s="40" t="s">
        <v>1552</v>
      </c>
    </row>
    <row r="1610" spans="2:6" hidden="1">
      <c r="B1610" s="8">
        <v>1607</v>
      </c>
      <c r="C1610" s="8" t="s">
        <v>599</v>
      </c>
      <c r="D1610" s="8" t="s">
        <v>1694</v>
      </c>
      <c r="E1610" s="39">
        <v>356000</v>
      </c>
      <c r="F1610" s="40" t="s">
        <v>1552</v>
      </c>
    </row>
    <row r="1611" spans="2:6" hidden="1">
      <c r="B1611" s="8">
        <v>1608</v>
      </c>
      <c r="C1611" s="8" t="s">
        <v>599</v>
      </c>
      <c r="D1611" s="8" t="s">
        <v>317</v>
      </c>
      <c r="E1611" s="39">
        <v>170000</v>
      </c>
      <c r="F1611" s="40" t="s">
        <v>1552</v>
      </c>
    </row>
    <row r="1612" spans="2:6" hidden="1">
      <c r="B1612" s="8">
        <v>1609</v>
      </c>
      <c r="C1612" s="8" t="s">
        <v>1695</v>
      </c>
      <c r="D1612" s="8" t="s">
        <v>1601</v>
      </c>
      <c r="E1612" s="39">
        <v>99000</v>
      </c>
      <c r="F1612" s="40" t="s">
        <v>1552</v>
      </c>
    </row>
    <row r="1613" spans="2:6" hidden="1">
      <c r="B1613" s="8">
        <v>1610</v>
      </c>
      <c r="C1613" s="8" t="s">
        <v>601</v>
      </c>
      <c r="D1613" s="8" t="s">
        <v>1696</v>
      </c>
      <c r="E1613" s="39">
        <v>69000</v>
      </c>
      <c r="F1613" s="40" t="s">
        <v>1552</v>
      </c>
    </row>
    <row r="1614" spans="2:6" hidden="1">
      <c r="B1614" s="8">
        <v>1611</v>
      </c>
      <c r="C1614" s="8" t="s">
        <v>602</v>
      </c>
      <c r="D1614" s="8" t="s">
        <v>1697</v>
      </c>
      <c r="E1614" s="39">
        <v>227000</v>
      </c>
      <c r="F1614" s="40" t="s">
        <v>1552</v>
      </c>
    </row>
    <row r="1615" spans="2:6" hidden="1">
      <c r="B1615" s="8">
        <v>1612</v>
      </c>
      <c r="C1615" s="8" t="s">
        <v>602</v>
      </c>
      <c r="D1615" s="8" t="s">
        <v>1698</v>
      </c>
      <c r="E1615" s="39">
        <v>796000</v>
      </c>
      <c r="F1615" s="40" t="s">
        <v>1552</v>
      </c>
    </row>
    <row r="1616" spans="2:6" hidden="1">
      <c r="B1616" s="8">
        <v>1613</v>
      </c>
      <c r="C1616" s="8" t="s">
        <v>1699</v>
      </c>
      <c r="D1616" s="8" t="s">
        <v>1700</v>
      </c>
      <c r="E1616" s="39">
        <v>370000</v>
      </c>
      <c r="F1616" s="40" t="s">
        <v>1552</v>
      </c>
    </row>
    <row r="1617" spans="2:6" hidden="1">
      <c r="B1617" s="8">
        <v>1614</v>
      </c>
      <c r="C1617" s="8" t="s">
        <v>1699</v>
      </c>
      <c r="D1617" s="8" t="s">
        <v>1644</v>
      </c>
      <c r="E1617" s="39">
        <v>1382000</v>
      </c>
      <c r="F1617" s="40" t="s">
        <v>1552</v>
      </c>
    </row>
    <row r="1618" spans="2:6" hidden="1">
      <c r="B1618" s="8">
        <v>1615</v>
      </c>
      <c r="C1618" s="8" t="s">
        <v>604</v>
      </c>
      <c r="D1618" s="8" t="s">
        <v>1701</v>
      </c>
      <c r="E1618" s="39">
        <v>601000</v>
      </c>
      <c r="F1618" s="40" t="s">
        <v>1552</v>
      </c>
    </row>
    <row r="1619" spans="2:6" hidden="1">
      <c r="B1619" s="8">
        <v>1616</v>
      </c>
      <c r="C1619" s="8" t="s">
        <v>604</v>
      </c>
      <c r="D1619" s="8" t="s">
        <v>1564</v>
      </c>
      <c r="E1619" s="39">
        <v>200000</v>
      </c>
      <c r="F1619" s="40" t="s">
        <v>1552</v>
      </c>
    </row>
    <row r="1620" spans="2:6" hidden="1">
      <c r="B1620" s="8">
        <v>1617</v>
      </c>
      <c r="C1620" s="8" t="s">
        <v>607</v>
      </c>
      <c r="D1620" s="8" t="s">
        <v>608</v>
      </c>
      <c r="E1620" s="39">
        <v>154000</v>
      </c>
      <c r="F1620" s="40" t="s">
        <v>1552</v>
      </c>
    </row>
    <row r="1621" spans="2:6" hidden="1">
      <c r="B1621" s="8">
        <v>1618</v>
      </c>
      <c r="C1621" s="8" t="s">
        <v>607</v>
      </c>
      <c r="D1621" s="8" t="s">
        <v>453</v>
      </c>
      <c r="E1621" s="39">
        <v>124000</v>
      </c>
      <c r="F1621" s="40" t="s">
        <v>1552</v>
      </c>
    </row>
    <row r="1622" spans="2:6" hidden="1">
      <c r="B1622" s="8">
        <v>1619</v>
      </c>
      <c r="C1622" s="8" t="s">
        <v>609</v>
      </c>
      <c r="D1622" s="8" t="s">
        <v>1564</v>
      </c>
      <c r="E1622" s="39">
        <v>200000</v>
      </c>
      <c r="F1622" s="40" t="s">
        <v>1552</v>
      </c>
    </row>
    <row r="1623" spans="2:6" hidden="1">
      <c r="B1623" s="8">
        <v>1620</v>
      </c>
      <c r="C1623" s="8" t="s">
        <v>609</v>
      </c>
      <c r="D1623" s="8" t="s">
        <v>1702</v>
      </c>
      <c r="E1623" s="39">
        <v>154000</v>
      </c>
      <c r="F1623" s="40" t="s">
        <v>1552</v>
      </c>
    </row>
    <row r="1624" spans="2:6" hidden="1">
      <c r="B1624" s="8">
        <v>1621</v>
      </c>
      <c r="C1624" s="8" t="s">
        <v>1703</v>
      </c>
      <c r="D1624" s="8" t="s">
        <v>577</v>
      </c>
      <c r="E1624" s="39">
        <v>263000</v>
      </c>
      <c r="F1624" s="40" t="s">
        <v>1552</v>
      </c>
    </row>
    <row r="1625" spans="2:6" hidden="1">
      <c r="B1625" s="8">
        <v>1622</v>
      </c>
      <c r="C1625" s="8" t="s">
        <v>1703</v>
      </c>
      <c r="D1625" s="8" t="s">
        <v>1704</v>
      </c>
      <c r="E1625" s="39">
        <v>123000</v>
      </c>
      <c r="F1625" s="40" t="s">
        <v>1552</v>
      </c>
    </row>
    <row r="1626" spans="2:6" hidden="1">
      <c r="B1626" s="8">
        <v>1623</v>
      </c>
      <c r="C1626" s="8" t="s">
        <v>1703</v>
      </c>
      <c r="D1626" s="8" t="s">
        <v>1705</v>
      </c>
      <c r="E1626" s="39">
        <v>1292000</v>
      </c>
      <c r="F1626" s="40" t="s">
        <v>1552</v>
      </c>
    </row>
    <row r="1627" spans="2:6" hidden="1">
      <c r="B1627" s="8">
        <v>1624</v>
      </c>
      <c r="C1627" s="8" t="s">
        <v>1706</v>
      </c>
      <c r="D1627" s="8" t="s">
        <v>405</v>
      </c>
      <c r="E1627" s="39">
        <v>203000</v>
      </c>
      <c r="F1627" s="40" t="s">
        <v>1552</v>
      </c>
    </row>
    <row r="1628" spans="2:6" hidden="1">
      <c r="B1628" s="8">
        <v>1625</v>
      </c>
      <c r="C1628" s="8" t="s">
        <v>1707</v>
      </c>
      <c r="D1628" s="8" t="s">
        <v>317</v>
      </c>
      <c r="E1628" s="39">
        <v>421000</v>
      </c>
      <c r="F1628" s="40" t="s">
        <v>1552</v>
      </c>
    </row>
    <row r="1629" spans="2:6" hidden="1">
      <c r="B1629" s="8">
        <v>1626</v>
      </c>
      <c r="C1629" s="8" t="s">
        <v>615</v>
      </c>
      <c r="D1629" s="8" t="s">
        <v>621</v>
      </c>
      <c r="E1629" s="39">
        <v>119000</v>
      </c>
      <c r="F1629" s="40" t="s">
        <v>1552</v>
      </c>
    </row>
    <row r="1630" spans="2:6" hidden="1">
      <c r="B1630" s="8">
        <v>1627</v>
      </c>
      <c r="C1630" s="8" t="s">
        <v>615</v>
      </c>
      <c r="D1630" s="8" t="s">
        <v>1708</v>
      </c>
      <c r="E1630" s="39">
        <v>53000</v>
      </c>
      <c r="F1630" s="40" t="s">
        <v>1552</v>
      </c>
    </row>
    <row r="1631" spans="2:6" hidden="1">
      <c r="B1631" s="8">
        <v>1628</v>
      </c>
      <c r="C1631" s="8" t="s">
        <v>618</v>
      </c>
      <c r="D1631" s="8" t="s">
        <v>838</v>
      </c>
      <c r="E1631" s="39">
        <v>75000</v>
      </c>
      <c r="F1631" s="40" t="s">
        <v>1552</v>
      </c>
    </row>
    <row r="1632" spans="2:6" hidden="1">
      <c r="B1632" s="8">
        <v>1629</v>
      </c>
      <c r="C1632" s="8" t="s">
        <v>618</v>
      </c>
      <c r="D1632" s="8" t="s">
        <v>838</v>
      </c>
      <c r="E1632" s="39">
        <v>99000</v>
      </c>
      <c r="F1632" s="40" t="s">
        <v>1552</v>
      </c>
    </row>
    <row r="1633" spans="2:6" hidden="1">
      <c r="B1633" s="8">
        <v>1630</v>
      </c>
      <c r="C1633" s="8" t="s">
        <v>618</v>
      </c>
      <c r="D1633" s="8" t="s">
        <v>630</v>
      </c>
      <c r="E1633" s="39">
        <v>135000</v>
      </c>
      <c r="F1633" s="40" t="s">
        <v>1552</v>
      </c>
    </row>
    <row r="1634" spans="2:6" hidden="1">
      <c r="B1634" s="8">
        <v>1631</v>
      </c>
      <c r="C1634" s="8" t="s">
        <v>618</v>
      </c>
      <c r="D1634" s="8" t="s">
        <v>211</v>
      </c>
      <c r="E1634" s="39">
        <v>618000</v>
      </c>
      <c r="F1634" s="40" t="s">
        <v>1552</v>
      </c>
    </row>
    <row r="1635" spans="2:6" hidden="1">
      <c r="B1635" s="8">
        <v>1632</v>
      </c>
      <c r="C1635" s="8" t="s">
        <v>618</v>
      </c>
      <c r="D1635" s="8" t="s">
        <v>317</v>
      </c>
      <c r="E1635" s="39">
        <v>190000</v>
      </c>
      <c r="F1635" s="40" t="s">
        <v>1552</v>
      </c>
    </row>
    <row r="1636" spans="2:6" hidden="1">
      <c r="B1636" s="8">
        <v>1633</v>
      </c>
      <c r="C1636" s="8" t="s">
        <v>619</v>
      </c>
      <c r="D1636" s="8" t="s">
        <v>1709</v>
      </c>
      <c r="E1636" s="39">
        <v>94000</v>
      </c>
      <c r="F1636" s="40" t="s">
        <v>1552</v>
      </c>
    </row>
    <row r="1637" spans="2:6" hidden="1">
      <c r="B1637" s="8">
        <v>1634</v>
      </c>
      <c r="C1637" s="8" t="s">
        <v>619</v>
      </c>
      <c r="D1637" s="8" t="s">
        <v>1710</v>
      </c>
      <c r="E1637" s="39">
        <v>154000</v>
      </c>
      <c r="F1637" s="40" t="s">
        <v>1552</v>
      </c>
    </row>
    <row r="1638" spans="2:6" hidden="1">
      <c r="B1638" s="8">
        <v>1635</v>
      </c>
      <c r="C1638" s="8" t="s">
        <v>619</v>
      </c>
      <c r="D1638" s="8" t="s">
        <v>1711</v>
      </c>
      <c r="E1638" s="39">
        <v>309000</v>
      </c>
      <c r="F1638" s="40" t="s">
        <v>1552</v>
      </c>
    </row>
    <row r="1639" spans="2:6" hidden="1">
      <c r="B1639" s="8">
        <v>1636</v>
      </c>
      <c r="C1639" s="8" t="s">
        <v>1712</v>
      </c>
      <c r="D1639" s="8" t="s">
        <v>1564</v>
      </c>
      <c r="E1639" s="39">
        <v>200000</v>
      </c>
      <c r="F1639" s="40" t="s">
        <v>1552</v>
      </c>
    </row>
    <row r="1640" spans="2:6" hidden="1">
      <c r="B1640" s="8">
        <v>1637</v>
      </c>
      <c r="C1640" s="8" t="s">
        <v>631</v>
      </c>
      <c r="D1640" s="8" t="s">
        <v>1564</v>
      </c>
      <c r="E1640" s="39">
        <v>200000</v>
      </c>
      <c r="F1640" s="40" t="s">
        <v>1552</v>
      </c>
    </row>
    <row r="1641" spans="2:6" hidden="1">
      <c r="B1641" s="8">
        <v>1638</v>
      </c>
      <c r="C1641" s="8" t="s">
        <v>631</v>
      </c>
      <c r="D1641" s="8" t="s">
        <v>1300</v>
      </c>
      <c r="E1641" s="39">
        <v>305000</v>
      </c>
      <c r="F1641" s="40" t="s">
        <v>1552</v>
      </c>
    </row>
    <row r="1642" spans="2:6" hidden="1">
      <c r="B1642" s="8">
        <v>1639</v>
      </c>
      <c r="C1642" s="8" t="s">
        <v>633</v>
      </c>
      <c r="D1642" s="8" t="s">
        <v>1564</v>
      </c>
      <c r="E1642" s="39">
        <v>200000</v>
      </c>
      <c r="F1642" s="40" t="s">
        <v>1552</v>
      </c>
    </row>
    <row r="1643" spans="2:6" hidden="1">
      <c r="B1643" s="8">
        <v>1640</v>
      </c>
      <c r="C1643" s="8" t="s">
        <v>633</v>
      </c>
      <c r="D1643" s="8" t="s">
        <v>727</v>
      </c>
      <c r="E1643" s="39">
        <v>84000</v>
      </c>
      <c r="F1643" s="40" t="s">
        <v>1552</v>
      </c>
    </row>
    <row r="1644" spans="2:6" hidden="1">
      <c r="B1644" s="8">
        <v>1641</v>
      </c>
      <c r="C1644" s="8" t="s">
        <v>638</v>
      </c>
      <c r="D1644" s="8" t="s">
        <v>317</v>
      </c>
      <c r="E1644" s="39">
        <v>244000</v>
      </c>
      <c r="F1644" s="40" t="s">
        <v>1552</v>
      </c>
    </row>
    <row r="1645" spans="2:6" hidden="1">
      <c r="B1645" s="8">
        <v>1642</v>
      </c>
      <c r="C1645" s="8" t="s">
        <v>639</v>
      </c>
      <c r="D1645" s="8" t="s">
        <v>217</v>
      </c>
      <c r="E1645" s="39">
        <v>455000</v>
      </c>
      <c r="F1645" s="40" t="s">
        <v>1552</v>
      </c>
    </row>
    <row r="1646" spans="2:6" hidden="1">
      <c r="B1646" s="8">
        <v>1643</v>
      </c>
      <c r="C1646" s="8" t="s">
        <v>639</v>
      </c>
      <c r="D1646" s="8" t="s">
        <v>204</v>
      </c>
      <c r="E1646" s="39">
        <v>204000</v>
      </c>
      <c r="F1646" s="40" t="s">
        <v>1552</v>
      </c>
    </row>
    <row r="1647" spans="2:6" hidden="1">
      <c r="B1647" s="8">
        <v>1644</v>
      </c>
      <c r="C1647" s="8" t="s">
        <v>639</v>
      </c>
      <c r="D1647" s="8" t="s">
        <v>305</v>
      </c>
      <c r="E1647" s="39">
        <v>155000</v>
      </c>
      <c r="F1647" s="40" t="s">
        <v>1552</v>
      </c>
    </row>
    <row r="1648" spans="2:6" hidden="1">
      <c r="B1648" s="8">
        <v>1645</v>
      </c>
      <c r="C1648" s="8" t="s">
        <v>642</v>
      </c>
      <c r="D1648" s="8" t="s">
        <v>1713</v>
      </c>
      <c r="E1648" s="39">
        <v>725000</v>
      </c>
      <c r="F1648" s="40" t="s">
        <v>1552</v>
      </c>
    </row>
    <row r="1649" spans="2:6" hidden="1">
      <c r="B1649" s="8">
        <v>1646</v>
      </c>
      <c r="C1649" s="8" t="s">
        <v>642</v>
      </c>
      <c r="D1649" s="8" t="s">
        <v>640</v>
      </c>
      <c r="E1649" s="39">
        <v>563000</v>
      </c>
      <c r="F1649" s="40" t="s">
        <v>1552</v>
      </c>
    </row>
    <row r="1650" spans="2:6" hidden="1">
      <c r="B1650" s="8">
        <v>1647</v>
      </c>
      <c r="C1650" s="8" t="s">
        <v>642</v>
      </c>
      <c r="D1650" s="8" t="s">
        <v>1714</v>
      </c>
      <c r="E1650" s="39">
        <v>442000</v>
      </c>
      <c r="F1650" s="40" t="s">
        <v>1552</v>
      </c>
    </row>
    <row r="1651" spans="2:6" hidden="1">
      <c r="B1651" s="8">
        <v>1648</v>
      </c>
      <c r="C1651" s="8" t="s">
        <v>642</v>
      </c>
      <c r="D1651" s="8" t="s">
        <v>904</v>
      </c>
      <c r="E1651" s="39">
        <v>90000</v>
      </c>
      <c r="F1651" s="40" t="s">
        <v>1552</v>
      </c>
    </row>
    <row r="1652" spans="2:6" hidden="1">
      <c r="B1652" s="8">
        <v>1649</v>
      </c>
      <c r="C1652" s="8" t="s">
        <v>646</v>
      </c>
      <c r="D1652" s="8" t="s">
        <v>1715</v>
      </c>
      <c r="E1652" s="39">
        <v>10000</v>
      </c>
      <c r="F1652" s="40" t="s">
        <v>1552</v>
      </c>
    </row>
    <row r="1653" spans="2:6" hidden="1">
      <c r="B1653" s="8">
        <v>1650</v>
      </c>
      <c r="C1653" s="8" t="s">
        <v>646</v>
      </c>
      <c r="D1653" s="8" t="s">
        <v>1716</v>
      </c>
      <c r="E1653" s="39">
        <v>68000</v>
      </c>
      <c r="F1653" s="40" t="s">
        <v>1552</v>
      </c>
    </row>
    <row r="1654" spans="2:6" hidden="1">
      <c r="B1654" s="8">
        <v>1651</v>
      </c>
      <c r="C1654" s="8" t="s">
        <v>649</v>
      </c>
      <c r="D1654" s="8" t="s">
        <v>1564</v>
      </c>
      <c r="E1654" s="39">
        <v>200000</v>
      </c>
      <c r="F1654" s="40" t="s">
        <v>1552</v>
      </c>
    </row>
    <row r="1655" spans="2:6" hidden="1">
      <c r="B1655" s="8">
        <v>1652</v>
      </c>
      <c r="C1655" s="8" t="s">
        <v>650</v>
      </c>
      <c r="D1655" s="8" t="s">
        <v>1717</v>
      </c>
      <c r="E1655" s="39">
        <v>84000</v>
      </c>
      <c r="F1655" s="40" t="s">
        <v>1552</v>
      </c>
    </row>
    <row r="1656" spans="2:6" hidden="1">
      <c r="B1656" s="8">
        <v>1653</v>
      </c>
      <c r="C1656" s="8" t="s">
        <v>650</v>
      </c>
      <c r="D1656" s="8" t="s">
        <v>1718</v>
      </c>
      <c r="E1656" s="39">
        <v>169000</v>
      </c>
      <c r="F1656" s="40" t="s">
        <v>1552</v>
      </c>
    </row>
    <row r="1657" spans="2:6" hidden="1">
      <c r="B1657" s="8">
        <v>1654</v>
      </c>
      <c r="C1657" s="8" t="s">
        <v>650</v>
      </c>
      <c r="D1657" s="8" t="s">
        <v>1719</v>
      </c>
      <c r="E1657" s="39">
        <v>357000</v>
      </c>
      <c r="F1657" s="40" t="s">
        <v>1552</v>
      </c>
    </row>
    <row r="1658" spans="2:6" hidden="1">
      <c r="B1658" s="8">
        <v>1655</v>
      </c>
      <c r="C1658" s="8" t="s">
        <v>650</v>
      </c>
      <c r="D1658" s="8" t="s">
        <v>1564</v>
      </c>
      <c r="E1658" s="39">
        <v>200000</v>
      </c>
      <c r="F1658" s="40" t="s">
        <v>1552</v>
      </c>
    </row>
    <row r="1659" spans="2:6" hidden="1">
      <c r="B1659" s="8">
        <v>1656</v>
      </c>
      <c r="C1659" s="8" t="s">
        <v>654</v>
      </c>
      <c r="D1659" s="8" t="s">
        <v>1720</v>
      </c>
      <c r="E1659" s="39">
        <v>53000</v>
      </c>
      <c r="F1659" s="40" t="s">
        <v>1552</v>
      </c>
    </row>
    <row r="1660" spans="2:6" hidden="1">
      <c r="B1660" s="8">
        <v>1657</v>
      </c>
      <c r="C1660" s="8" t="s">
        <v>654</v>
      </c>
      <c r="D1660" s="8" t="s">
        <v>398</v>
      </c>
      <c r="E1660" s="39">
        <v>118000</v>
      </c>
      <c r="F1660" s="40" t="s">
        <v>1552</v>
      </c>
    </row>
    <row r="1661" spans="2:6" hidden="1">
      <c r="B1661" s="8">
        <v>1658</v>
      </c>
      <c r="C1661" s="8" t="s">
        <v>658</v>
      </c>
      <c r="D1661" s="8" t="s">
        <v>217</v>
      </c>
      <c r="E1661" s="39">
        <v>796000</v>
      </c>
      <c r="F1661" s="40" t="s">
        <v>1552</v>
      </c>
    </row>
    <row r="1662" spans="2:6" hidden="1">
      <c r="B1662" s="8">
        <v>1659</v>
      </c>
      <c r="C1662" s="8" t="s">
        <v>658</v>
      </c>
      <c r="D1662" s="8" t="s">
        <v>1721</v>
      </c>
      <c r="E1662" s="39">
        <v>340000</v>
      </c>
      <c r="F1662" s="40" t="s">
        <v>1552</v>
      </c>
    </row>
    <row r="1663" spans="2:6" hidden="1">
      <c r="B1663" s="8">
        <v>1660</v>
      </c>
      <c r="C1663" s="8" t="s">
        <v>660</v>
      </c>
      <c r="D1663" s="8" t="s">
        <v>1722</v>
      </c>
      <c r="E1663" s="39">
        <v>103000</v>
      </c>
      <c r="F1663" s="40" t="s">
        <v>1552</v>
      </c>
    </row>
    <row r="1664" spans="2:6" hidden="1">
      <c r="B1664" s="8">
        <v>1661</v>
      </c>
      <c r="C1664" s="8" t="s">
        <v>662</v>
      </c>
      <c r="D1664" s="8" t="s">
        <v>900</v>
      </c>
      <c r="E1664" s="39">
        <v>80000</v>
      </c>
      <c r="F1664" s="40" t="s">
        <v>1552</v>
      </c>
    </row>
    <row r="1665" spans="2:6" hidden="1">
      <c r="B1665" s="8">
        <v>1662</v>
      </c>
      <c r="C1665" s="8" t="s">
        <v>1310</v>
      </c>
      <c r="D1665" s="8" t="s">
        <v>1723</v>
      </c>
      <c r="E1665" s="39">
        <v>127000</v>
      </c>
      <c r="F1665" s="40" t="s">
        <v>1552</v>
      </c>
    </row>
    <row r="1666" spans="2:6" hidden="1">
      <c r="B1666" s="8">
        <v>1663</v>
      </c>
      <c r="C1666" s="8" t="s">
        <v>1311</v>
      </c>
      <c r="D1666" s="8" t="s">
        <v>345</v>
      </c>
      <c r="E1666" s="39">
        <v>332000</v>
      </c>
      <c r="F1666" s="40" t="s">
        <v>1552</v>
      </c>
    </row>
    <row r="1667" spans="2:6" hidden="1">
      <c r="B1667" s="8">
        <v>1664</v>
      </c>
      <c r="C1667" s="8" t="s">
        <v>666</v>
      </c>
      <c r="D1667" s="8" t="s">
        <v>317</v>
      </c>
      <c r="E1667" s="39">
        <v>180000</v>
      </c>
      <c r="F1667" s="40" t="s">
        <v>1552</v>
      </c>
    </row>
    <row r="1668" spans="2:6" hidden="1">
      <c r="B1668" s="8">
        <v>1665</v>
      </c>
      <c r="C1668" s="8" t="s">
        <v>669</v>
      </c>
      <c r="D1668" s="8" t="s">
        <v>211</v>
      </c>
      <c r="E1668" s="39">
        <v>182000</v>
      </c>
      <c r="F1668" s="40" t="s">
        <v>1552</v>
      </c>
    </row>
    <row r="1669" spans="2:6" hidden="1">
      <c r="B1669" s="8">
        <v>1666</v>
      </c>
      <c r="C1669" s="8" t="s">
        <v>671</v>
      </c>
      <c r="D1669" s="8" t="s">
        <v>1564</v>
      </c>
      <c r="E1669" s="39">
        <v>200000</v>
      </c>
      <c r="F1669" s="40" t="s">
        <v>1552</v>
      </c>
    </row>
    <row r="1670" spans="2:6" hidden="1">
      <c r="B1670" s="8">
        <v>1667</v>
      </c>
      <c r="C1670" s="8" t="s">
        <v>673</v>
      </c>
      <c r="D1670" s="8" t="s">
        <v>339</v>
      </c>
      <c r="E1670" s="39">
        <v>110000</v>
      </c>
      <c r="F1670" s="40" t="s">
        <v>1552</v>
      </c>
    </row>
    <row r="1671" spans="2:6" hidden="1">
      <c r="B1671" s="8">
        <v>1668</v>
      </c>
      <c r="C1671" s="8" t="s">
        <v>675</v>
      </c>
      <c r="D1671" s="8" t="s">
        <v>204</v>
      </c>
      <c r="E1671" s="39">
        <v>192000</v>
      </c>
      <c r="F1671" s="40" t="s">
        <v>1552</v>
      </c>
    </row>
    <row r="1672" spans="2:6" hidden="1">
      <c r="B1672" s="8">
        <v>1669</v>
      </c>
      <c r="C1672" s="8" t="s">
        <v>1724</v>
      </c>
      <c r="D1672" s="8" t="s">
        <v>1564</v>
      </c>
      <c r="E1672" s="39">
        <v>200000</v>
      </c>
      <c r="F1672" s="40" t="s">
        <v>1552</v>
      </c>
    </row>
    <row r="1673" spans="2:6" hidden="1">
      <c r="B1673" s="8">
        <v>1670</v>
      </c>
      <c r="C1673" s="8" t="s">
        <v>1724</v>
      </c>
      <c r="D1673" s="8" t="s">
        <v>1694</v>
      </c>
      <c r="E1673" s="39">
        <v>315000</v>
      </c>
      <c r="F1673" s="40" t="s">
        <v>1552</v>
      </c>
    </row>
    <row r="1674" spans="2:6" hidden="1">
      <c r="B1674" s="8">
        <v>1671</v>
      </c>
      <c r="C1674" s="8" t="s">
        <v>1318</v>
      </c>
      <c r="D1674" s="8" t="s">
        <v>1725</v>
      </c>
      <c r="E1674" s="39">
        <v>90000</v>
      </c>
      <c r="F1674" s="40" t="s">
        <v>1552</v>
      </c>
    </row>
    <row r="1675" spans="2:6" hidden="1">
      <c r="B1675" s="8">
        <v>1672</v>
      </c>
      <c r="C1675" s="8" t="s">
        <v>1318</v>
      </c>
      <c r="D1675" s="8" t="s">
        <v>1726</v>
      </c>
      <c r="E1675" s="39">
        <v>838000</v>
      </c>
      <c r="F1675" s="40" t="s">
        <v>1552</v>
      </c>
    </row>
    <row r="1676" spans="2:6" hidden="1">
      <c r="B1676" s="8">
        <v>1673</v>
      </c>
      <c r="C1676" s="8" t="s">
        <v>1320</v>
      </c>
      <c r="D1676" s="8" t="s">
        <v>1727</v>
      </c>
      <c r="E1676" s="39">
        <v>108000</v>
      </c>
      <c r="F1676" s="40" t="s">
        <v>1552</v>
      </c>
    </row>
    <row r="1677" spans="2:6" hidden="1">
      <c r="B1677" s="8">
        <v>1674</v>
      </c>
      <c r="C1677" s="8" t="s">
        <v>1320</v>
      </c>
      <c r="D1677" s="8" t="s">
        <v>1728</v>
      </c>
      <c r="E1677" s="39">
        <v>176000</v>
      </c>
      <c r="F1677" s="40" t="s">
        <v>1552</v>
      </c>
    </row>
    <row r="1678" spans="2:6" hidden="1">
      <c r="B1678" s="8">
        <v>1675</v>
      </c>
      <c r="C1678" s="8" t="s">
        <v>678</v>
      </c>
      <c r="D1678" s="8" t="s">
        <v>345</v>
      </c>
      <c r="E1678" s="39">
        <v>661000</v>
      </c>
      <c r="F1678" s="40" t="s">
        <v>1552</v>
      </c>
    </row>
    <row r="1679" spans="2:6" hidden="1">
      <c r="B1679" s="8">
        <v>1676</v>
      </c>
      <c r="C1679" s="8" t="s">
        <v>682</v>
      </c>
      <c r="D1679" s="8" t="s">
        <v>288</v>
      </c>
      <c r="E1679" s="39">
        <v>218000</v>
      </c>
      <c r="F1679" s="40" t="s">
        <v>1552</v>
      </c>
    </row>
    <row r="1680" spans="2:6" hidden="1">
      <c r="B1680" s="8">
        <v>1677</v>
      </c>
      <c r="C1680" s="8" t="s">
        <v>685</v>
      </c>
      <c r="D1680" s="8" t="s">
        <v>1729</v>
      </c>
      <c r="E1680" s="39">
        <v>593000</v>
      </c>
      <c r="F1680" s="40" t="s">
        <v>1552</v>
      </c>
    </row>
    <row r="1681" spans="2:6" hidden="1">
      <c r="B1681" s="8">
        <v>1678</v>
      </c>
      <c r="C1681" s="8" t="s">
        <v>690</v>
      </c>
      <c r="D1681" s="8" t="s">
        <v>1730</v>
      </c>
      <c r="E1681" s="39">
        <v>1395000</v>
      </c>
      <c r="F1681" s="40" t="s">
        <v>1552</v>
      </c>
    </row>
    <row r="1682" spans="2:6" hidden="1">
      <c r="B1682" s="8">
        <v>1679</v>
      </c>
      <c r="C1682" s="8" t="s">
        <v>1332</v>
      </c>
      <c r="D1682" s="8" t="s">
        <v>1564</v>
      </c>
      <c r="E1682" s="39">
        <v>200000</v>
      </c>
      <c r="F1682" s="40" t="s">
        <v>1552</v>
      </c>
    </row>
    <row r="1683" spans="2:6" hidden="1">
      <c r="B1683" s="8">
        <v>1680</v>
      </c>
      <c r="C1683" s="8" t="s">
        <v>694</v>
      </c>
      <c r="D1683" s="8" t="s">
        <v>1731</v>
      </c>
      <c r="E1683" s="39">
        <v>261000</v>
      </c>
      <c r="F1683" s="40" t="s">
        <v>1552</v>
      </c>
    </row>
    <row r="1684" spans="2:6" hidden="1">
      <c r="B1684" s="8">
        <v>1681</v>
      </c>
      <c r="C1684" s="8" t="s">
        <v>1334</v>
      </c>
      <c r="D1684" s="8" t="s">
        <v>217</v>
      </c>
      <c r="E1684" s="39">
        <v>498000</v>
      </c>
      <c r="F1684" s="40" t="s">
        <v>1552</v>
      </c>
    </row>
    <row r="1685" spans="2:6" hidden="1">
      <c r="B1685" s="8">
        <v>1682</v>
      </c>
      <c r="C1685" s="8" t="s">
        <v>1336</v>
      </c>
      <c r="D1685" s="8" t="s">
        <v>693</v>
      </c>
      <c r="E1685" s="39">
        <v>230000</v>
      </c>
      <c r="F1685" s="40" t="s">
        <v>1552</v>
      </c>
    </row>
    <row r="1686" spans="2:6" hidden="1">
      <c r="B1686" s="8">
        <v>1683</v>
      </c>
      <c r="C1686" s="8" t="s">
        <v>701</v>
      </c>
      <c r="D1686" s="8" t="s">
        <v>1732</v>
      </c>
      <c r="E1686" s="39">
        <v>122000</v>
      </c>
      <c r="F1686" s="40" t="s">
        <v>1552</v>
      </c>
    </row>
    <row r="1687" spans="2:6" hidden="1">
      <c r="B1687" s="8">
        <v>1684</v>
      </c>
      <c r="C1687" s="8" t="s">
        <v>1346</v>
      </c>
      <c r="D1687" s="8" t="s">
        <v>681</v>
      </c>
      <c r="E1687" s="39">
        <v>91000</v>
      </c>
      <c r="F1687" s="40" t="s">
        <v>1552</v>
      </c>
    </row>
    <row r="1688" spans="2:6" hidden="1">
      <c r="B1688" s="8">
        <v>1685</v>
      </c>
      <c r="C1688" s="8" t="s">
        <v>707</v>
      </c>
      <c r="D1688" s="8" t="s">
        <v>775</v>
      </c>
      <c r="E1688" s="39">
        <v>259000</v>
      </c>
      <c r="F1688" s="40" t="s">
        <v>1552</v>
      </c>
    </row>
    <row r="1689" spans="2:6" hidden="1">
      <c r="B1689" s="8">
        <v>1686</v>
      </c>
      <c r="C1689" s="8" t="s">
        <v>707</v>
      </c>
      <c r="D1689" s="8" t="s">
        <v>1564</v>
      </c>
      <c r="E1689" s="39">
        <v>200000</v>
      </c>
      <c r="F1689" s="40" t="s">
        <v>1552</v>
      </c>
    </row>
    <row r="1690" spans="2:6" hidden="1">
      <c r="B1690" s="8">
        <v>1687</v>
      </c>
      <c r="C1690" s="8" t="s">
        <v>1353</v>
      </c>
      <c r="D1690" s="8" t="s">
        <v>798</v>
      </c>
      <c r="E1690" s="39">
        <v>269000</v>
      </c>
      <c r="F1690" s="40" t="s">
        <v>1552</v>
      </c>
    </row>
    <row r="1691" spans="2:6" hidden="1">
      <c r="B1691" s="8">
        <v>1688</v>
      </c>
      <c r="C1691" s="8" t="s">
        <v>712</v>
      </c>
      <c r="D1691" s="8" t="s">
        <v>1733</v>
      </c>
      <c r="E1691" s="39">
        <v>499000</v>
      </c>
      <c r="F1691" s="40" t="s">
        <v>1552</v>
      </c>
    </row>
    <row r="1692" spans="2:6" hidden="1">
      <c r="B1692" s="8">
        <v>1689</v>
      </c>
      <c r="C1692" s="8" t="s">
        <v>1354</v>
      </c>
      <c r="D1692" s="8" t="s">
        <v>319</v>
      </c>
      <c r="E1692" s="39">
        <v>125000</v>
      </c>
      <c r="F1692" s="40" t="s">
        <v>1552</v>
      </c>
    </row>
    <row r="1693" spans="2:6" hidden="1">
      <c r="B1693" s="8">
        <v>1690</v>
      </c>
      <c r="C1693" s="8" t="s">
        <v>1354</v>
      </c>
      <c r="D1693" s="8" t="s">
        <v>648</v>
      </c>
      <c r="E1693" s="39">
        <v>205000</v>
      </c>
      <c r="F1693" s="40" t="s">
        <v>1552</v>
      </c>
    </row>
    <row r="1694" spans="2:6" hidden="1">
      <c r="B1694" s="8">
        <v>1691</v>
      </c>
      <c r="C1694" s="8" t="s">
        <v>1355</v>
      </c>
      <c r="D1694" s="8" t="s">
        <v>1734</v>
      </c>
      <c r="E1694" s="39">
        <v>284000</v>
      </c>
      <c r="F1694" s="40" t="s">
        <v>1552</v>
      </c>
    </row>
    <row r="1695" spans="2:6" hidden="1">
      <c r="B1695" s="8">
        <v>1692</v>
      </c>
      <c r="C1695" s="8" t="s">
        <v>1358</v>
      </c>
      <c r="D1695" s="8" t="s">
        <v>317</v>
      </c>
      <c r="E1695" s="39">
        <v>425000</v>
      </c>
      <c r="F1695" s="40" t="s">
        <v>1552</v>
      </c>
    </row>
    <row r="1696" spans="2:6" hidden="1">
      <c r="B1696" s="8">
        <v>1693</v>
      </c>
      <c r="C1696" s="8" t="s">
        <v>1359</v>
      </c>
      <c r="D1696" s="8" t="s">
        <v>1735</v>
      </c>
      <c r="E1696" s="39">
        <v>449000</v>
      </c>
      <c r="F1696" s="40" t="s">
        <v>1552</v>
      </c>
    </row>
    <row r="1697" spans="2:6" hidden="1">
      <c r="B1697" s="8">
        <v>1694</v>
      </c>
      <c r="C1697" s="8" t="s">
        <v>722</v>
      </c>
      <c r="D1697" s="8" t="s">
        <v>1736</v>
      </c>
      <c r="E1697" s="39">
        <v>158000</v>
      </c>
      <c r="F1697" s="40" t="s">
        <v>1552</v>
      </c>
    </row>
    <row r="1698" spans="2:6" hidden="1">
      <c r="B1698" s="8">
        <v>1695</v>
      </c>
      <c r="C1698" s="8" t="s">
        <v>724</v>
      </c>
      <c r="D1698" s="8" t="s">
        <v>1737</v>
      </c>
      <c r="E1698" s="39">
        <v>305000</v>
      </c>
      <c r="F1698" s="40" t="s">
        <v>1552</v>
      </c>
    </row>
    <row r="1699" spans="2:6" hidden="1">
      <c r="B1699" s="8">
        <v>1696</v>
      </c>
      <c r="C1699" s="8" t="s">
        <v>724</v>
      </c>
      <c r="D1699" s="8" t="s">
        <v>1177</v>
      </c>
      <c r="E1699" s="39">
        <v>572000</v>
      </c>
      <c r="F1699" s="40" t="s">
        <v>1552</v>
      </c>
    </row>
    <row r="1700" spans="2:6" hidden="1">
      <c r="B1700" s="8">
        <v>1697</v>
      </c>
      <c r="C1700" s="8" t="s">
        <v>1361</v>
      </c>
      <c r="D1700" s="8" t="s">
        <v>1738</v>
      </c>
      <c r="E1700" s="39">
        <v>145000</v>
      </c>
      <c r="F1700" s="40" t="s">
        <v>1552</v>
      </c>
    </row>
    <row r="1701" spans="2:6" hidden="1">
      <c r="B1701" s="8">
        <v>1698</v>
      </c>
      <c r="C1701" s="8" t="s">
        <v>1364</v>
      </c>
      <c r="D1701" s="8" t="s">
        <v>1739</v>
      </c>
      <c r="E1701" s="39">
        <v>1157000</v>
      </c>
      <c r="F1701" s="40" t="s">
        <v>1552</v>
      </c>
    </row>
    <row r="1702" spans="2:6" hidden="1">
      <c r="B1702" s="8">
        <v>1699</v>
      </c>
      <c r="C1702" s="8" t="s">
        <v>1364</v>
      </c>
      <c r="D1702" s="8" t="s">
        <v>204</v>
      </c>
      <c r="E1702" s="39">
        <v>294000</v>
      </c>
      <c r="F1702" s="40" t="s">
        <v>1552</v>
      </c>
    </row>
    <row r="1703" spans="2:6" hidden="1">
      <c r="B1703" s="8">
        <v>1700</v>
      </c>
      <c r="C1703" s="8" t="s">
        <v>726</v>
      </c>
      <c r="D1703" s="8" t="s">
        <v>1295</v>
      </c>
      <c r="E1703" s="39">
        <v>154000</v>
      </c>
      <c r="F1703" s="40" t="s">
        <v>1552</v>
      </c>
    </row>
    <row r="1704" spans="2:6" hidden="1">
      <c r="B1704" s="8">
        <v>1701</v>
      </c>
      <c r="C1704" s="8" t="s">
        <v>726</v>
      </c>
      <c r="D1704" s="8" t="s">
        <v>1564</v>
      </c>
      <c r="E1704" s="39">
        <v>200000</v>
      </c>
      <c r="F1704" s="40" t="s">
        <v>1552</v>
      </c>
    </row>
    <row r="1705" spans="2:6" hidden="1">
      <c r="B1705" s="8">
        <v>1702</v>
      </c>
      <c r="C1705" s="8" t="s">
        <v>726</v>
      </c>
      <c r="D1705" s="8" t="s">
        <v>199</v>
      </c>
      <c r="E1705" s="39">
        <v>310000</v>
      </c>
      <c r="F1705" s="40" t="s">
        <v>1552</v>
      </c>
    </row>
    <row r="1706" spans="2:6" hidden="1">
      <c r="B1706" s="8">
        <v>1703</v>
      </c>
      <c r="C1706" s="8" t="s">
        <v>728</v>
      </c>
      <c r="D1706" s="8" t="s">
        <v>1740</v>
      </c>
      <c r="E1706" s="39">
        <v>370000</v>
      </c>
      <c r="F1706" s="40" t="s">
        <v>1552</v>
      </c>
    </row>
    <row r="1707" spans="2:6" hidden="1">
      <c r="B1707" s="8">
        <v>1704</v>
      </c>
      <c r="C1707" s="8" t="s">
        <v>728</v>
      </c>
      <c r="D1707" s="8" t="s">
        <v>743</v>
      </c>
      <c r="E1707" s="39">
        <v>214000</v>
      </c>
      <c r="F1707" s="40" t="s">
        <v>1552</v>
      </c>
    </row>
    <row r="1708" spans="2:6" hidden="1">
      <c r="B1708" s="8">
        <v>1705</v>
      </c>
      <c r="C1708" s="8" t="s">
        <v>730</v>
      </c>
      <c r="D1708" s="8" t="s">
        <v>1741</v>
      </c>
      <c r="E1708" s="39">
        <v>3867000</v>
      </c>
      <c r="F1708" s="40" t="s">
        <v>1552</v>
      </c>
    </row>
    <row r="1709" spans="2:6" hidden="1">
      <c r="B1709" s="8">
        <v>1706</v>
      </c>
      <c r="C1709" s="8" t="s">
        <v>730</v>
      </c>
      <c r="D1709" s="8" t="s">
        <v>1742</v>
      </c>
      <c r="E1709" s="39">
        <v>175000</v>
      </c>
      <c r="F1709" s="40" t="s">
        <v>1552</v>
      </c>
    </row>
    <row r="1710" spans="2:6" hidden="1">
      <c r="B1710" s="8">
        <v>1707</v>
      </c>
      <c r="C1710" s="8" t="s">
        <v>733</v>
      </c>
      <c r="D1710" s="8" t="s">
        <v>1743</v>
      </c>
      <c r="E1710" s="39">
        <v>186000</v>
      </c>
      <c r="F1710" s="40" t="s">
        <v>1552</v>
      </c>
    </row>
    <row r="1711" spans="2:6" hidden="1">
      <c r="B1711" s="8">
        <v>1708</v>
      </c>
      <c r="C1711" s="8" t="s">
        <v>736</v>
      </c>
      <c r="D1711" s="8" t="s">
        <v>1744</v>
      </c>
      <c r="E1711" s="39">
        <v>62000</v>
      </c>
      <c r="F1711" s="40" t="s">
        <v>1552</v>
      </c>
    </row>
    <row r="1712" spans="2:6" hidden="1">
      <c r="B1712" s="8">
        <v>1709</v>
      </c>
      <c r="C1712" s="8" t="s">
        <v>1745</v>
      </c>
      <c r="D1712" s="8" t="s">
        <v>1746</v>
      </c>
      <c r="E1712" s="39">
        <v>687000</v>
      </c>
      <c r="F1712" s="40" t="s">
        <v>1552</v>
      </c>
    </row>
    <row r="1713" spans="2:6" hidden="1">
      <c r="B1713" s="8">
        <v>1710</v>
      </c>
      <c r="C1713" s="8" t="s">
        <v>741</v>
      </c>
      <c r="D1713" s="8" t="s">
        <v>1747</v>
      </c>
      <c r="E1713" s="39">
        <v>280000</v>
      </c>
      <c r="F1713" s="40" t="s">
        <v>1552</v>
      </c>
    </row>
    <row r="1714" spans="2:6" hidden="1">
      <c r="B1714" s="8">
        <v>1711</v>
      </c>
      <c r="C1714" s="8" t="s">
        <v>749</v>
      </c>
      <c r="D1714" s="8" t="s">
        <v>1748</v>
      </c>
      <c r="E1714" s="39">
        <v>443000</v>
      </c>
      <c r="F1714" s="40" t="s">
        <v>1552</v>
      </c>
    </row>
    <row r="1715" spans="2:6" hidden="1">
      <c r="B1715" s="8">
        <v>1712</v>
      </c>
      <c r="C1715" s="8" t="s">
        <v>749</v>
      </c>
      <c r="D1715" s="8" t="s">
        <v>1749</v>
      </c>
      <c r="E1715" s="39">
        <v>136000</v>
      </c>
      <c r="F1715" s="40" t="s">
        <v>1552</v>
      </c>
    </row>
    <row r="1716" spans="2:6" hidden="1">
      <c r="B1716" s="8">
        <v>1713</v>
      </c>
      <c r="C1716" s="8" t="s">
        <v>753</v>
      </c>
      <c r="D1716" s="8" t="s">
        <v>1750</v>
      </c>
      <c r="E1716" s="39">
        <v>565000</v>
      </c>
      <c r="F1716" s="40" t="s">
        <v>1552</v>
      </c>
    </row>
    <row r="1717" spans="2:6" hidden="1">
      <c r="B1717" s="8">
        <v>1714</v>
      </c>
      <c r="C1717" s="8" t="s">
        <v>754</v>
      </c>
      <c r="D1717" s="8" t="s">
        <v>217</v>
      </c>
      <c r="E1717" s="39">
        <v>1020000</v>
      </c>
      <c r="F1717" s="40" t="s">
        <v>1552</v>
      </c>
    </row>
    <row r="1718" spans="2:6" hidden="1">
      <c r="B1718" s="8">
        <v>1715</v>
      </c>
      <c r="C1718" s="8" t="s">
        <v>759</v>
      </c>
      <c r="D1718" s="8" t="s">
        <v>1564</v>
      </c>
      <c r="E1718" s="39">
        <v>200000</v>
      </c>
      <c r="F1718" s="40" t="s">
        <v>1552</v>
      </c>
    </row>
    <row r="1719" spans="2:6" hidden="1">
      <c r="B1719" s="8">
        <v>1716</v>
      </c>
      <c r="C1719" s="8" t="s">
        <v>759</v>
      </c>
      <c r="D1719" s="8" t="s">
        <v>317</v>
      </c>
      <c r="E1719" s="39">
        <v>388000</v>
      </c>
      <c r="F1719" s="40" t="s">
        <v>1552</v>
      </c>
    </row>
    <row r="1720" spans="2:6" hidden="1">
      <c r="B1720" s="8">
        <v>1717</v>
      </c>
      <c r="C1720" s="8" t="s">
        <v>761</v>
      </c>
      <c r="D1720" s="8" t="s">
        <v>912</v>
      </c>
      <c r="E1720" s="39">
        <v>166000</v>
      </c>
      <c r="F1720" s="40" t="s">
        <v>1552</v>
      </c>
    </row>
    <row r="1721" spans="2:6" hidden="1">
      <c r="B1721" s="8">
        <v>1718</v>
      </c>
      <c r="C1721" s="8" t="s">
        <v>761</v>
      </c>
      <c r="D1721" s="8" t="s">
        <v>204</v>
      </c>
      <c r="E1721" s="39">
        <v>827000</v>
      </c>
      <c r="F1721" s="40" t="s">
        <v>1552</v>
      </c>
    </row>
    <row r="1722" spans="2:6" hidden="1">
      <c r="B1722" s="8">
        <v>1719</v>
      </c>
      <c r="C1722" s="8" t="s">
        <v>1751</v>
      </c>
      <c r="D1722" s="8" t="s">
        <v>1752</v>
      </c>
      <c r="E1722" s="39">
        <v>455000</v>
      </c>
      <c r="F1722" s="40" t="s">
        <v>1552</v>
      </c>
    </row>
    <row r="1723" spans="2:6" hidden="1">
      <c r="B1723" s="8">
        <v>1720</v>
      </c>
      <c r="C1723" s="8" t="s">
        <v>1751</v>
      </c>
      <c r="D1723" s="8" t="s">
        <v>1752</v>
      </c>
      <c r="E1723" s="39">
        <v>135000</v>
      </c>
      <c r="F1723" s="40" t="s">
        <v>1552</v>
      </c>
    </row>
    <row r="1724" spans="2:6" hidden="1">
      <c r="B1724" s="8">
        <v>1721</v>
      </c>
      <c r="C1724" s="8" t="s">
        <v>765</v>
      </c>
      <c r="D1724" s="8" t="s">
        <v>1564</v>
      </c>
      <c r="E1724" s="39">
        <v>200000</v>
      </c>
      <c r="F1724" s="40" t="s">
        <v>1552</v>
      </c>
    </row>
    <row r="1725" spans="2:6" hidden="1">
      <c r="B1725" s="8">
        <v>1722</v>
      </c>
      <c r="C1725" s="8" t="s">
        <v>768</v>
      </c>
      <c r="D1725" s="8" t="s">
        <v>1114</v>
      </c>
      <c r="E1725" s="39">
        <v>157000</v>
      </c>
      <c r="F1725" s="40" t="s">
        <v>1552</v>
      </c>
    </row>
    <row r="1726" spans="2:6" hidden="1">
      <c r="B1726" s="8">
        <v>1723</v>
      </c>
      <c r="C1726" s="8" t="s">
        <v>768</v>
      </c>
      <c r="D1726" s="8" t="s">
        <v>339</v>
      </c>
      <c r="E1726" s="39">
        <v>84000</v>
      </c>
      <c r="F1726" s="40" t="s">
        <v>1552</v>
      </c>
    </row>
    <row r="1727" spans="2:6" hidden="1">
      <c r="B1727" s="8">
        <v>1724</v>
      </c>
      <c r="C1727" s="8" t="s">
        <v>770</v>
      </c>
      <c r="D1727" s="8" t="s">
        <v>1753</v>
      </c>
      <c r="E1727" s="39">
        <v>554000</v>
      </c>
      <c r="F1727" s="40" t="s">
        <v>1552</v>
      </c>
    </row>
    <row r="1728" spans="2:6" hidden="1">
      <c r="B1728" s="8">
        <v>1725</v>
      </c>
      <c r="C1728" s="8" t="s">
        <v>1754</v>
      </c>
      <c r="D1728" s="8" t="s">
        <v>1755</v>
      </c>
      <c r="E1728" s="39">
        <v>138000</v>
      </c>
      <c r="F1728" s="40" t="s">
        <v>1552</v>
      </c>
    </row>
    <row r="1729" spans="2:6" hidden="1">
      <c r="B1729" s="8">
        <v>1726</v>
      </c>
      <c r="C1729" s="8" t="s">
        <v>1756</v>
      </c>
      <c r="D1729" s="8" t="s">
        <v>345</v>
      </c>
      <c r="E1729" s="39">
        <v>457000</v>
      </c>
      <c r="F1729" s="40" t="s">
        <v>1552</v>
      </c>
    </row>
    <row r="1730" spans="2:6" hidden="1">
      <c r="B1730" s="8">
        <v>1727</v>
      </c>
      <c r="C1730" s="8" t="s">
        <v>1382</v>
      </c>
      <c r="D1730" s="8" t="s">
        <v>1757</v>
      </c>
      <c r="E1730" s="39">
        <v>243000</v>
      </c>
      <c r="F1730" s="40" t="s">
        <v>1552</v>
      </c>
    </row>
    <row r="1731" spans="2:6" hidden="1">
      <c r="B1731" s="8">
        <v>1728</v>
      </c>
      <c r="C1731" s="8" t="s">
        <v>1758</v>
      </c>
      <c r="D1731" s="8" t="s">
        <v>935</v>
      </c>
      <c r="E1731" s="39">
        <v>177000</v>
      </c>
      <c r="F1731" s="40" t="s">
        <v>1552</v>
      </c>
    </row>
    <row r="1732" spans="2:6" hidden="1">
      <c r="B1732" s="8">
        <v>1729</v>
      </c>
      <c r="C1732" s="8" t="s">
        <v>1759</v>
      </c>
      <c r="D1732" s="8" t="s">
        <v>319</v>
      </c>
      <c r="E1732" s="39">
        <v>357000</v>
      </c>
      <c r="F1732" s="40" t="s">
        <v>1552</v>
      </c>
    </row>
    <row r="1733" spans="2:6" hidden="1">
      <c r="B1733" s="8">
        <v>1730</v>
      </c>
      <c r="C1733" s="8" t="s">
        <v>1383</v>
      </c>
      <c r="D1733" s="8" t="s">
        <v>1564</v>
      </c>
      <c r="E1733" s="39">
        <v>200000</v>
      </c>
      <c r="F1733" s="40" t="s">
        <v>1552</v>
      </c>
    </row>
    <row r="1734" spans="2:6" hidden="1">
      <c r="B1734" s="8">
        <v>1731</v>
      </c>
      <c r="C1734" s="8" t="s">
        <v>773</v>
      </c>
      <c r="D1734" s="8" t="s">
        <v>775</v>
      </c>
      <c r="E1734" s="39">
        <v>284000</v>
      </c>
      <c r="F1734" s="40" t="s">
        <v>1552</v>
      </c>
    </row>
    <row r="1735" spans="2:6" hidden="1">
      <c r="B1735" s="8">
        <v>1732</v>
      </c>
      <c r="C1735" s="8" t="s">
        <v>773</v>
      </c>
      <c r="D1735" s="8" t="s">
        <v>709</v>
      </c>
      <c r="E1735" s="39">
        <v>1345000</v>
      </c>
      <c r="F1735" s="40" t="s">
        <v>1552</v>
      </c>
    </row>
    <row r="1736" spans="2:6" hidden="1">
      <c r="B1736" s="8">
        <v>1733</v>
      </c>
      <c r="C1736" s="8" t="s">
        <v>773</v>
      </c>
      <c r="D1736" s="8" t="s">
        <v>640</v>
      </c>
      <c r="E1736" s="39">
        <v>694000</v>
      </c>
      <c r="F1736" s="40" t="s">
        <v>1552</v>
      </c>
    </row>
    <row r="1737" spans="2:6" hidden="1">
      <c r="B1737" s="8">
        <v>1734</v>
      </c>
      <c r="C1737" s="8" t="s">
        <v>1385</v>
      </c>
      <c r="D1737" s="8" t="s">
        <v>1760</v>
      </c>
      <c r="E1737" s="39">
        <v>436000</v>
      </c>
      <c r="F1737" s="40" t="s">
        <v>1552</v>
      </c>
    </row>
    <row r="1738" spans="2:6" hidden="1">
      <c r="B1738" s="8">
        <v>1735</v>
      </c>
      <c r="C1738" s="8" t="s">
        <v>1385</v>
      </c>
      <c r="D1738" s="8" t="s">
        <v>1761</v>
      </c>
      <c r="E1738" s="39">
        <v>422000</v>
      </c>
      <c r="F1738" s="40" t="s">
        <v>1552</v>
      </c>
    </row>
    <row r="1739" spans="2:6" hidden="1">
      <c r="B1739" s="8">
        <v>1736</v>
      </c>
      <c r="C1739" s="8" t="s">
        <v>779</v>
      </c>
      <c r="D1739" s="8" t="s">
        <v>1762</v>
      </c>
      <c r="E1739" s="39">
        <v>79000</v>
      </c>
      <c r="F1739" s="40" t="s">
        <v>1552</v>
      </c>
    </row>
    <row r="1740" spans="2:6" hidden="1">
      <c r="B1740" s="8">
        <v>1737</v>
      </c>
      <c r="C1740" s="8" t="s">
        <v>779</v>
      </c>
      <c r="D1740" s="8" t="s">
        <v>1763</v>
      </c>
      <c r="E1740" s="39">
        <v>154000</v>
      </c>
      <c r="F1740" s="40" t="s">
        <v>1552</v>
      </c>
    </row>
    <row r="1741" spans="2:6" hidden="1">
      <c r="B1741" s="8">
        <v>1738</v>
      </c>
      <c r="C1741" s="8" t="s">
        <v>779</v>
      </c>
      <c r="D1741" s="8" t="s">
        <v>681</v>
      </c>
      <c r="E1741" s="39">
        <v>473000</v>
      </c>
      <c r="F1741" s="40" t="s">
        <v>1552</v>
      </c>
    </row>
    <row r="1742" spans="2:6" hidden="1">
      <c r="B1742" s="8">
        <v>1739</v>
      </c>
      <c r="C1742" s="8" t="s">
        <v>1392</v>
      </c>
      <c r="D1742" s="8" t="s">
        <v>717</v>
      </c>
      <c r="E1742" s="39">
        <v>148000</v>
      </c>
      <c r="F1742" s="40" t="s">
        <v>1552</v>
      </c>
    </row>
    <row r="1743" spans="2:6" hidden="1">
      <c r="B1743" s="8">
        <v>1740</v>
      </c>
      <c r="C1743" s="8" t="s">
        <v>1392</v>
      </c>
      <c r="D1743" s="8" t="s">
        <v>317</v>
      </c>
      <c r="E1743" s="39">
        <v>906000</v>
      </c>
      <c r="F1743" s="40" t="s">
        <v>1552</v>
      </c>
    </row>
    <row r="1744" spans="2:6" hidden="1">
      <c r="B1744" s="8">
        <v>1741</v>
      </c>
      <c r="C1744" s="8" t="s">
        <v>786</v>
      </c>
      <c r="D1744" s="8" t="s">
        <v>319</v>
      </c>
      <c r="E1744" s="39">
        <v>90000</v>
      </c>
      <c r="F1744" s="40" t="s">
        <v>1552</v>
      </c>
    </row>
    <row r="1745" spans="2:6" hidden="1">
      <c r="B1745" s="8">
        <v>1742</v>
      </c>
      <c r="C1745" s="8" t="s">
        <v>786</v>
      </c>
      <c r="D1745" s="8" t="s">
        <v>1764</v>
      </c>
      <c r="E1745" s="39">
        <v>977000</v>
      </c>
      <c r="F1745" s="40" t="s">
        <v>1552</v>
      </c>
    </row>
    <row r="1746" spans="2:6" hidden="1">
      <c r="B1746" s="8">
        <v>1743</v>
      </c>
      <c r="C1746" s="8" t="s">
        <v>1765</v>
      </c>
      <c r="D1746" s="8" t="s">
        <v>1766</v>
      </c>
      <c r="E1746" s="39">
        <v>191000</v>
      </c>
      <c r="F1746" s="40" t="s">
        <v>1552</v>
      </c>
    </row>
    <row r="1747" spans="2:6" hidden="1">
      <c r="B1747" s="8">
        <v>1744</v>
      </c>
      <c r="C1747" s="8" t="s">
        <v>1765</v>
      </c>
      <c r="D1747" s="8" t="s">
        <v>1271</v>
      </c>
      <c r="E1747" s="39">
        <v>1118000</v>
      </c>
      <c r="F1747" s="40" t="s">
        <v>1552</v>
      </c>
    </row>
    <row r="1748" spans="2:6" hidden="1">
      <c r="B1748" s="8">
        <v>1745</v>
      </c>
      <c r="C1748" s="8" t="s">
        <v>1767</v>
      </c>
      <c r="D1748" s="8" t="s">
        <v>573</v>
      </c>
      <c r="E1748" s="39">
        <v>97000</v>
      </c>
      <c r="F1748" s="40" t="s">
        <v>1552</v>
      </c>
    </row>
    <row r="1749" spans="2:6" hidden="1">
      <c r="B1749" s="8">
        <v>1746</v>
      </c>
      <c r="C1749" s="8" t="s">
        <v>790</v>
      </c>
      <c r="D1749" s="8" t="s">
        <v>1768</v>
      </c>
      <c r="E1749" s="39">
        <v>75000</v>
      </c>
      <c r="F1749" s="40" t="s">
        <v>1552</v>
      </c>
    </row>
    <row r="1750" spans="2:6" hidden="1">
      <c r="B1750" s="8">
        <v>1747</v>
      </c>
      <c r="C1750" s="8" t="s">
        <v>793</v>
      </c>
      <c r="D1750" s="8" t="s">
        <v>1769</v>
      </c>
      <c r="E1750" s="39">
        <v>1533000</v>
      </c>
      <c r="F1750" s="40" t="s">
        <v>1552</v>
      </c>
    </row>
    <row r="1751" spans="2:6" hidden="1">
      <c r="B1751" s="8">
        <v>1748</v>
      </c>
      <c r="C1751" s="8" t="s">
        <v>793</v>
      </c>
      <c r="D1751" s="8" t="s">
        <v>1770</v>
      </c>
      <c r="E1751" s="39">
        <v>168000</v>
      </c>
      <c r="F1751" s="40" t="s">
        <v>1552</v>
      </c>
    </row>
    <row r="1752" spans="2:6" hidden="1">
      <c r="B1752" s="8">
        <v>1749</v>
      </c>
      <c r="C1752" s="8" t="s">
        <v>1771</v>
      </c>
      <c r="D1752" s="8" t="s">
        <v>630</v>
      </c>
      <c r="E1752" s="39">
        <v>97000</v>
      </c>
      <c r="F1752" s="40" t="s">
        <v>1552</v>
      </c>
    </row>
    <row r="1753" spans="2:6" hidden="1">
      <c r="B1753" s="8">
        <v>1750</v>
      </c>
      <c r="C1753" s="8" t="s">
        <v>796</v>
      </c>
      <c r="D1753" s="8" t="s">
        <v>1772</v>
      </c>
      <c r="E1753" s="39">
        <v>248000</v>
      </c>
      <c r="F1753" s="40" t="s">
        <v>1552</v>
      </c>
    </row>
    <row r="1754" spans="2:6" hidden="1">
      <c r="B1754" s="8">
        <v>1751</v>
      </c>
      <c r="C1754" s="8" t="s">
        <v>796</v>
      </c>
      <c r="D1754" s="8" t="s">
        <v>1773</v>
      </c>
      <c r="E1754" s="39">
        <v>84000</v>
      </c>
      <c r="F1754" s="40" t="s">
        <v>1552</v>
      </c>
    </row>
    <row r="1755" spans="2:6" hidden="1">
      <c r="B1755" s="8">
        <v>1752</v>
      </c>
      <c r="C1755" s="8" t="s">
        <v>796</v>
      </c>
      <c r="D1755" s="8" t="s">
        <v>1774</v>
      </c>
      <c r="E1755" s="39">
        <v>419000</v>
      </c>
      <c r="F1755" s="40" t="s">
        <v>1552</v>
      </c>
    </row>
    <row r="1756" spans="2:6" hidden="1">
      <c r="B1756" s="8">
        <v>1753</v>
      </c>
      <c r="C1756" s="8" t="s">
        <v>1399</v>
      </c>
      <c r="D1756" s="8" t="s">
        <v>211</v>
      </c>
      <c r="E1756" s="39">
        <v>887000</v>
      </c>
      <c r="F1756" s="40" t="s">
        <v>1552</v>
      </c>
    </row>
    <row r="1757" spans="2:6" hidden="1">
      <c r="B1757" s="8">
        <v>1754</v>
      </c>
      <c r="C1757" s="8" t="s">
        <v>1401</v>
      </c>
      <c r="D1757" s="8" t="s">
        <v>1775</v>
      </c>
      <c r="E1757" s="39">
        <v>164000</v>
      </c>
      <c r="F1757" s="40" t="s">
        <v>1552</v>
      </c>
    </row>
    <row r="1758" spans="2:6" hidden="1">
      <c r="B1758" s="8">
        <v>1755</v>
      </c>
      <c r="C1758" s="8" t="s">
        <v>1776</v>
      </c>
      <c r="D1758" s="8" t="s">
        <v>1777</v>
      </c>
      <c r="E1758" s="39">
        <v>195000</v>
      </c>
      <c r="F1758" s="40" t="s">
        <v>1552</v>
      </c>
    </row>
    <row r="1759" spans="2:6" hidden="1">
      <c r="B1759" s="8">
        <v>1756</v>
      </c>
      <c r="C1759" s="8" t="s">
        <v>1776</v>
      </c>
      <c r="D1759" s="8" t="s">
        <v>1778</v>
      </c>
      <c r="E1759" s="39">
        <v>84000</v>
      </c>
      <c r="F1759" s="40" t="s">
        <v>1552</v>
      </c>
    </row>
    <row r="1760" spans="2:6" hidden="1">
      <c r="B1760" s="8">
        <v>1757</v>
      </c>
      <c r="C1760" s="8" t="s">
        <v>806</v>
      </c>
      <c r="D1760" s="8" t="s">
        <v>217</v>
      </c>
      <c r="E1760" s="39">
        <v>96000</v>
      </c>
      <c r="F1760" s="40" t="s">
        <v>1552</v>
      </c>
    </row>
    <row r="1761" spans="2:6" hidden="1">
      <c r="B1761" s="8">
        <v>1758</v>
      </c>
      <c r="C1761" s="8" t="s">
        <v>806</v>
      </c>
      <c r="D1761" s="8" t="s">
        <v>305</v>
      </c>
      <c r="E1761" s="39">
        <v>158000</v>
      </c>
      <c r="F1761" s="40" t="s">
        <v>1552</v>
      </c>
    </row>
    <row r="1762" spans="2:6" hidden="1">
      <c r="B1762" s="8">
        <v>1759</v>
      </c>
      <c r="C1762" s="8" t="s">
        <v>810</v>
      </c>
      <c r="D1762" s="8" t="s">
        <v>1779</v>
      </c>
      <c r="E1762" s="39">
        <v>1921000</v>
      </c>
      <c r="F1762" s="40" t="s">
        <v>1552</v>
      </c>
    </row>
    <row r="1763" spans="2:6" hidden="1">
      <c r="B1763" s="8">
        <v>1760</v>
      </c>
      <c r="C1763" s="8" t="s">
        <v>810</v>
      </c>
      <c r="D1763" s="8" t="s">
        <v>1780</v>
      </c>
      <c r="E1763" s="39">
        <v>1317000</v>
      </c>
      <c r="F1763" s="40" t="s">
        <v>1552</v>
      </c>
    </row>
    <row r="1764" spans="2:6" hidden="1">
      <c r="B1764" s="8">
        <v>1761</v>
      </c>
      <c r="C1764" s="8" t="s">
        <v>812</v>
      </c>
      <c r="D1764" s="8" t="s">
        <v>1781</v>
      </c>
      <c r="E1764" s="39">
        <v>118000</v>
      </c>
      <c r="F1764" s="40" t="s">
        <v>1552</v>
      </c>
    </row>
    <row r="1765" spans="2:6" hidden="1">
      <c r="B1765" s="8">
        <v>1762</v>
      </c>
      <c r="C1765" s="8" t="s">
        <v>812</v>
      </c>
      <c r="D1765" s="8" t="s">
        <v>311</v>
      </c>
      <c r="E1765" s="39">
        <v>207000</v>
      </c>
      <c r="F1765" s="40" t="s">
        <v>1552</v>
      </c>
    </row>
    <row r="1766" spans="2:6" hidden="1">
      <c r="B1766" s="8">
        <v>1763</v>
      </c>
      <c r="C1766" s="8" t="s">
        <v>812</v>
      </c>
      <c r="D1766" s="8" t="s">
        <v>198</v>
      </c>
      <c r="E1766" s="39">
        <v>572000</v>
      </c>
      <c r="F1766" s="40" t="s">
        <v>1552</v>
      </c>
    </row>
    <row r="1767" spans="2:6" hidden="1">
      <c r="B1767" s="8">
        <v>1764</v>
      </c>
      <c r="C1767" s="8" t="s">
        <v>812</v>
      </c>
      <c r="D1767" s="8" t="s">
        <v>1782</v>
      </c>
      <c r="E1767" s="39">
        <v>232000</v>
      </c>
      <c r="F1767" s="40" t="s">
        <v>1552</v>
      </c>
    </row>
    <row r="1768" spans="2:6" hidden="1">
      <c r="B1768" s="8">
        <v>1765</v>
      </c>
      <c r="C1768" s="8" t="s">
        <v>816</v>
      </c>
      <c r="D1768" s="8" t="s">
        <v>211</v>
      </c>
      <c r="E1768" s="39">
        <v>1336000</v>
      </c>
      <c r="F1768" s="40" t="s">
        <v>1552</v>
      </c>
    </row>
    <row r="1769" spans="2:6" hidden="1">
      <c r="B1769" s="8">
        <v>1766</v>
      </c>
      <c r="C1769" s="8" t="s">
        <v>817</v>
      </c>
      <c r="D1769" s="8" t="s">
        <v>1783</v>
      </c>
      <c r="E1769" s="39">
        <v>83000</v>
      </c>
      <c r="F1769" s="40" t="s">
        <v>1552</v>
      </c>
    </row>
    <row r="1770" spans="2:6" hidden="1">
      <c r="B1770" s="8">
        <v>1767</v>
      </c>
      <c r="C1770" s="8" t="s">
        <v>820</v>
      </c>
      <c r="D1770" s="8" t="s">
        <v>198</v>
      </c>
      <c r="E1770" s="39">
        <v>604000</v>
      </c>
      <c r="F1770" s="40" t="s">
        <v>1552</v>
      </c>
    </row>
    <row r="1771" spans="2:6" hidden="1">
      <c r="B1771" s="8">
        <v>1768</v>
      </c>
      <c r="C1771" s="8" t="s">
        <v>1784</v>
      </c>
      <c r="D1771" s="8" t="s">
        <v>1785</v>
      </c>
      <c r="E1771" s="39">
        <v>991000</v>
      </c>
      <c r="F1771" s="40" t="s">
        <v>1552</v>
      </c>
    </row>
    <row r="1772" spans="2:6" hidden="1">
      <c r="B1772" s="8">
        <v>1769</v>
      </c>
      <c r="C1772" s="8" t="s">
        <v>825</v>
      </c>
      <c r="D1772" s="8" t="s">
        <v>1250</v>
      </c>
      <c r="E1772" s="39">
        <v>239000</v>
      </c>
      <c r="F1772" s="40" t="s">
        <v>1552</v>
      </c>
    </row>
    <row r="1773" spans="2:6" hidden="1">
      <c r="B1773" s="8">
        <v>1770</v>
      </c>
      <c r="C1773" s="8" t="s">
        <v>827</v>
      </c>
      <c r="D1773" s="8" t="s">
        <v>1786</v>
      </c>
      <c r="E1773" s="39">
        <v>626000</v>
      </c>
      <c r="F1773" s="40" t="s">
        <v>1552</v>
      </c>
    </row>
    <row r="1774" spans="2:6" hidden="1">
      <c r="B1774" s="8">
        <v>1771</v>
      </c>
      <c r="C1774" s="8" t="s">
        <v>1787</v>
      </c>
      <c r="D1774" s="8" t="s">
        <v>204</v>
      </c>
      <c r="E1774" s="39">
        <v>226000</v>
      </c>
      <c r="F1774" s="40" t="s">
        <v>1552</v>
      </c>
    </row>
    <row r="1775" spans="2:6" hidden="1">
      <c r="B1775" s="8">
        <v>1772</v>
      </c>
      <c r="C1775" s="8" t="s">
        <v>1787</v>
      </c>
      <c r="D1775" s="8" t="s">
        <v>217</v>
      </c>
      <c r="E1775" s="39">
        <v>796000</v>
      </c>
      <c r="F1775" s="40" t="s">
        <v>1552</v>
      </c>
    </row>
    <row r="1776" spans="2:6" hidden="1">
      <c r="B1776" s="8">
        <v>1773</v>
      </c>
      <c r="C1776" s="8" t="s">
        <v>831</v>
      </c>
      <c r="D1776" s="8" t="s">
        <v>381</v>
      </c>
      <c r="E1776" s="39">
        <v>150000</v>
      </c>
      <c r="F1776" s="40" t="s">
        <v>1552</v>
      </c>
    </row>
    <row r="1777" spans="2:6" hidden="1">
      <c r="B1777" s="8">
        <v>1774</v>
      </c>
      <c r="C1777" s="8" t="s">
        <v>1421</v>
      </c>
      <c r="D1777" s="8" t="s">
        <v>1788</v>
      </c>
      <c r="E1777" s="39">
        <v>819000</v>
      </c>
      <c r="F1777" s="40" t="s">
        <v>1552</v>
      </c>
    </row>
    <row r="1778" spans="2:6" hidden="1">
      <c r="B1778" s="8">
        <v>1775</v>
      </c>
      <c r="C1778" s="8" t="s">
        <v>1421</v>
      </c>
      <c r="D1778" s="8" t="s">
        <v>1789</v>
      </c>
      <c r="E1778" s="39">
        <v>67000</v>
      </c>
      <c r="F1778" s="40" t="s">
        <v>1552</v>
      </c>
    </row>
    <row r="1779" spans="2:6" hidden="1">
      <c r="B1779" s="8">
        <v>1776</v>
      </c>
      <c r="C1779" s="8" t="s">
        <v>1421</v>
      </c>
      <c r="D1779" s="8" t="s">
        <v>640</v>
      </c>
      <c r="E1779" s="39">
        <v>107000</v>
      </c>
      <c r="F1779" s="40" t="s">
        <v>1552</v>
      </c>
    </row>
    <row r="1780" spans="2:6" hidden="1">
      <c r="B1780" s="8">
        <v>1777</v>
      </c>
      <c r="C1780" s="8" t="s">
        <v>833</v>
      </c>
      <c r="D1780" s="8" t="s">
        <v>317</v>
      </c>
      <c r="E1780" s="39">
        <v>120000</v>
      </c>
      <c r="F1780" s="40" t="s">
        <v>1552</v>
      </c>
    </row>
    <row r="1781" spans="2:6" hidden="1">
      <c r="B1781" s="8">
        <v>1778</v>
      </c>
      <c r="C1781" s="8" t="s">
        <v>833</v>
      </c>
      <c r="D1781" s="8" t="s">
        <v>1790</v>
      </c>
      <c r="E1781" s="39">
        <v>698000</v>
      </c>
      <c r="F1781" s="40" t="s">
        <v>1552</v>
      </c>
    </row>
    <row r="1782" spans="2:6" hidden="1">
      <c r="B1782" s="8">
        <v>1779</v>
      </c>
      <c r="C1782" s="8" t="s">
        <v>1425</v>
      </c>
      <c r="D1782" s="8" t="s">
        <v>317</v>
      </c>
      <c r="E1782" s="39">
        <v>601000</v>
      </c>
      <c r="F1782" s="40" t="s">
        <v>1552</v>
      </c>
    </row>
    <row r="1783" spans="2:6" hidden="1">
      <c r="B1783" s="8">
        <v>1780</v>
      </c>
      <c r="C1783" s="8" t="s">
        <v>839</v>
      </c>
      <c r="D1783" s="8" t="s">
        <v>1791</v>
      </c>
      <c r="E1783" s="39">
        <v>429000</v>
      </c>
      <c r="F1783" s="40" t="s">
        <v>1552</v>
      </c>
    </row>
    <row r="1784" spans="2:6" hidden="1">
      <c r="B1784" s="8">
        <v>1781</v>
      </c>
      <c r="C1784" s="8" t="s">
        <v>1429</v>
      </c>
      <c r="D1784" s="8" t="s">
        <v>1792</v>
      </c>
      <c r="E1784" s="39">
        <v>267000</v>
      </c>
      <c r="F1784" s="40" t="s">
        <v>1552</v>
      </c>
    </row>
    <row r="1785" spans="2:6" hidden="1">
      <c r="B1785" s="8">
        <v>1782</v>
      </c>
      <c r="C1785" s="8" t="s">
        <v>845</v>
      </c>
      <c r="D1785" s="8" t="s">
        <v>317</v>
      </c>
      <c r="E1785" s="39">
        <v>305000</v>
      </c>
      <c r="F1785" s="40" t="s">
        <v>1552</v>
      </c>
    </row>
    <row r="1786" spans="2:6" hidden="1">
      <c r="B1786" s="8">
        <v>1783</v>
      </c>
      <c r="C1786" s="8" t="s">
        <v>846</v>
      </c>
      <c r="D1786" s="8" t="s">
        <v>1793</v>
      </c>
      <c r="E1786" s="39">
        <v>214000</v>
      </c>
      <c r="F1786" s="40" t="s">
        <v>1552</v>
      </c>
    </row>
    <row r="1787" spans="2:6" hidden="1">
      <c r="B1787" s="8">
        <v>1784</v>
      </c>
      <c r="C1787" s="8" t="s">
        <v>1794</v>
      </c>
      <c r="D1787" s="8" t="s">
        <v>1795</v>
      </c>
      <c r="E1787" s="39">
        <v>429000</v>
      </c>
      <c r="F1787" s="40" t="s">
        <v>1552</v>
      </c>
    </row>
    <row r="1788" spans="2:6" hidden="1">
      <c r="B1788" s="8">
        <v>1785</v>
      </c>
      <c r="C1788" s="8" t="s">
        <v>1794</v>
      </c>
      <c r="D1788" s="8" t="s">
        <v>339</v>
      </c>
      <c r="E1788" s="39">
        <v>96000</v>
      </c>
      <c r="F1788" s="40" t="s">
        <v>1552</v>
      </c>
    </row>
    <row r="1789" spans="2:6" hidden="1">
      <c r="B1789" s="8">
        <v>1786</v>
      </c>
      <c r="C1789" s="8" t="s">
        <v>1794</v>
      </c>
      <c r="D1789" s="8" t="s">
        <v>552</v>
      </c>
      <c r="E1789" s="39">
        <v>200000</v>
      </c>
      <c r="F1789" s="40" t="s">
        <v>1552</v>
      </c>
    </row>
    <row r="1790" spans="2:6" hidden="1">
      <c r="B1790" s="8">
        <v>1787</v>
      </c>
      <c r="C1790" s="8" t="s">
        <v>1432</v>
      </c>
      <c r="D1790" s="8" t="s">
        <v>1264</v>
      </c>
      <c r="E1790" s="39">
        <v>201000</v>
      </c>
      <c r="F1790" s="40" t="s">
        <v>1552</v>
      </c>
    </row>
    <row r="1791" spans="2:6" hidden="1">
      <c r="B1791" s="8">
        <v>1788</v>
      </c>
      <c r="C1791" s="8" t="s">
        <v>1432</v>
      </c>
      <c r="D1791" s="8" t="s">
        <v>769</v>
      </c>
      <c r="E1791" s="39">
        <v>100000</v>
      </c>
      <c r="F1791" s="40" t="s">
        <v>1552</v>
      </c>
    </row>
    <row r="1792" spans="2:6" hidden="1">
      <c r="B1792" s="8">
        <v>1789</v>
      </c>
      <c r="C1792" s="8" t="s">
        <v>848</v>
      </c>
      <c r="D1792" s="8" t="s">
        <v>319</v>
      </c>
      <c r="E1792" s="39">
        <v>296000</v>
      </c>
      <c r="F1792" s="40" t="s">
        <v>1552</v>
      </c>
    </row>
    <row r="1793" spans="2:6" hidden="1">
      <c r="B1793" s="8">
        <v>1790</v>
      </c>
      <c r="C1793" s="8" t="s">
        <v>854</v>
      </c>
      <c r="D1793" s="8" t="s">
        <v>775</v>
      </c>
      <c r="E1793" s="39">
        <v>284000</v>
      </c>
      <c r="F1793" s="40" t="s">
        <v>1552</v>
      </c>
    </row>
    <row r="1794" spans="2:6" hidden="1">
      <c r="B1794" s="8">
        <v>1791</v>
      </c>
      <c r="C1794" s="8" t="s">
        <v>1796</v>
      </c>
      <c r="D1794" s="8" t="s">
        <v>640</v>
      </c>
      <c r="E1794" s="39">
        <v>609000</v>
      </c>
      <c r="F1794" s="40" t="s">
        <v>1552</v>
      </c>
    </row>
    <row r="1795" spans="2:6" hidden="1">
      <c r="B1795" s="8">
        <v>1792</v>
      </c>
      <c r="C1795" s="8" t="s">
        <v>863</v>
      </c>
      <c r="D1795" s="8" t="s">
        <v>1797</v>
      </c>
      <c r="E1795" s="39">
        <v>90000</v>
      </c>
      <c r="F1795" s="40" t="s">
        <v>1552</v>
      </c>
    </row>
    <row r="1796" spans="2:6" hidden="1">
      <c r="B1796" s="8">
        <v>1793</v>
      </c>
      <c r="C1796" s="8" t="s">
        <v>866</v>
      </c>
      <c r="D1796" s="8" t="s">
        <v>198</v>
      </c>
      <c r="E1796" s="39">
        <v>801000</v>
      </c>
      <c r="F1796" s="40" t="s">
        <v>1552</v>
      </c>
    </row>
    <row r="1797" spans="2:6" hidden="1">
      <c r="B1797" s="8">
        <v>1794</v>
      </c>
      <c r="C1797" s="8" t="s">
        <v>877</v>
      </c>
      <c r="D1797" s="8" t="s">
        <v>1798</v>
      </c>
      <c r="E1797" s="39">
        <v>463000</v>
      </c>
      <c r="F1797" s="40" t="s">
        <v>1552</v>
      </c>
    </row>
    <row r="1798" spans="2:6" hidden="1">
      <c r="B1798" s="8">
        <v>1795</v>
      </c>
      <c r="C1798" s="8" t="s">
        <v>879</v>
      </c>
      <c r="D1798" s="8" t="s">
        <v>204</v>
      </c>
      <c r="E1798" s="39">
        <v>128000</v>
      </c>
      <c r="F1798" s="40" t="s">
        <v>1552</v>
      </c>
    </row>
    <row r="1799" spans="2:6" hidden="1">
      <c r="B1799" s="8">
        <v>1796</v>
      </c>
      <c r="C1799" s="8" t="s">
        <v>883</v>
      </c>
      <c r="D1799" s="8" t="s">
        <v>1799</v>
      </c>
      <c r="E1799" s="39">
        <v>362000</v>
      </c>
      <c r="F1799" s="40" t="s">
        <v>1552</v>
      </c>
    </row>
    <row r="1800" spans="2:6" hidden="1">
      <c r="B1800" s="8">
        <v>1797</v>
      </c>
      <c r="C1800" s="8" t="s">
        <v>883</v>
      </c>
      <c r="D1800" s="8" t="s">
        <v>1800</v>
      </c>
      <c r="E1800" s="39">
        <v>183000</v>
      </c>
      <c r="F1800" s="40" t="s">
        <v>1552</v>
      </c>
    </row>
    <row r="1801" spans="2:6" hidden="1">
      <c r="B1801" s="8">
        <v>1798</v>
      </c>
      <c r="C1801" s="8" t="s">
        <v>1441</v>
      </c>
      <c r="D1801" s="8" t="s">
        <v>1801</v>
      </c>
      <c r="E1801" s="39">
        <v>772000</v>
      </c>
      <c r="F1801" s="40" t="s">
        <v>1552</v>
      </c>
    </row>
    <row r="1802" spans="2:6" hidden="1">
      <c r="B1802" s="8">
        <v>1799</v>
      </c>
      <c r="C1802" s="8" t="s">
        <v>1441</v>
      </c>
      <c r="D1802" s="8" t="s">
        <v>211</v>
      </c>
      <c r="E1802" s="39">
        <v>53000</v>
      </c>
      <c r="F1802" s="40" t="s">
        <v>1552</v>
      </c>
    </row>
    <row r="1803" spans="2:6" hidden="1">
      <c r="B1803" s="8">
        <v>1800</v>
      </c>
      <c r="C1803" s="8" t="s">
        <v>1441</v>
      </c>
      <c r="D1803" s="8" t="s">
        <v>317</v>
      </c>
      <c r="E1803" s="39">
        <v>240000</v>
      </c>
      <c r="F1803" s="40" t="s">
        <v>1552</v>
      </c>
    </row>
    <row r="1804" spans="2:6" hidden="1">
      <c r="B1804" s="8">
        <v>1801</v>
      </c>
      <c r="C1804" s="8" t="s">
        <v>1441</v>
      </c>
      <c r="D1804" s="8" t="s">
        <v>1802</v>
      </c>
      <c r="E1804" s="39">
        <v>135000</v>
      </c>
      <c r="F1804" s="40" t="s">
        <v>1552</v>
      </c>
    </row>
    <row r="1805" spans="2:6" hidden="1">
      <c r="B1805" s="8">
        <v>1802</v>
      </c>
      <c r="C1805" s="8" t="s">
        <v>891</v>
      </c>
      <c r="D1805" s="8" t="s">
        <v>1803</v>
      </c>
      <c r="E1805" s="39">
        <v>751000</v>
      </c>
      <c r="F1805" s="40" t="s">
        <v>1552</v>
      </c>
    </row>
    <row r="1806" spans="2:6" hidden="1">
      <c r="B1806" s="8">
        <v>1803</v>
      </c>
      <c r="C1806" s="8" t="s">
        <v>1444</v>
      </c>
      <c r="D1806" s="8" t="s">
        <v>311</v>
      </c>
      <c r="E1806" s="39">
        <v>191000</v>
      </c>
      <c r="F1806" s="40" t="s">
        <v>1552</v>
      </c>
    </row>
    <row r="1807" spans="2:6" hidden="1">
      <c r="B1807" s="8">
        <v>1804</v>
      </c>
      <c r="C1807" s="8" t="s">
        <v>899</v>
      </c>
      <c r="D1807" s="8" t="s">
        <v>1804</v>
      </c>
      <c r="E1807" s="39">
        <v>127000</v>
      </c>
      <c r="F1807" s="40" t="s">
        <v>1552</v>
      </c>
    </row>
    <row r="1808" spans="2:6" hidden="1">
      <c r="B1808" s="8">
        <v>1805</v>
      </c>
      <c r="C1808" s="8" t="s">
        <v>899</v>
      </c>
      <c r="D1808" s="8" t="s">
        <v>1052</v>
      </c>
      <c r="E1808" s="39">
        <v>53000</v>
      </c>
      <c r="F1808" s="40" t="s">
        <v>1552</v>
      </c>
    </row>
    <row r="1809" spans="2:6" hidden="1">
      <c r="B1809" s="8">
        <v>1806</v>
      </c>
      <c r="C1809" s="8" t="s">
        <v>899</v>
      </c>
      <c r="D1809" s="8" t="s">
        <v>1805</v>
      </c>
      <c r="E1809" s="39">
        <v>227000</v>
      </c>
      <c r="F1809" s="40" t="s">
        <v>1552</v>
      </c>
    </row>
    <row r="1810" spans="2:6" hidden="1">
      <c r="B1810" s="8">
        <v>1807</v>
      </c>
      <c r="C1810" s="8" t="s">
        <v>901</v>
      </c>
      <c r="D1810" s="8" t="s">
        <v>648</v>
      </c>
      <c r="E1810" s="39">
        <v>228000</v>
      </c>
      <c r="F1810" s="40" t="s">
        <v>1552</v>
      </c>
    </row>
    <row r="1811" spans="2:6" hidden="1">
      <c r="B1811" s="8">
        <v>1808</v>
      </c>
      <c r="C1811" s="8" t="s">
        <v>902</v>
      </c>
      <c r="D1811" s="8" t="s">
        <v>1806</v>
      </c>
      <c r="E1811" s="39">
        <v>63000</v>
      </c>
      <c r="F1811" s="40" t="s">
        <v>1552</v>
      </c>
    </row>
    <row r="1812" spans="2:6" hidden="1">
      <c r="B1812" s="8">
        <v>1809</v>
      </c>
      <c r="C1812" s="8" t="s">
        <v>902</v>
      </c>
      <c r="D1812" s="8" t="s">
        <v>354</v>
      </c>
      <c r="E1812" s="39">
        <v>225000</v>
      </c>
      <c r="F1812" s="40" t="s">
        <v>1552</v>
      </c>
    </row>
    <row r="1813" spans="2:6" hidden="1">
      <c r="B1813" s="8">
        <v>1810</v>
      </c>
      <c r="C1813" s="8" t="s">
        <v>902</v>
      </c>
      <c r="D1813" s="8" t="s">
        <v>1807</v>
      </c>
      <c r="E1813" s="39">
        <v>893000</v>
      </c>
      <c r="F1813" s="40" t="s">
        <v>1552</v>
      </c>
    </row>
    <row r="1814" spans="2:6" hidden="1">
      <c r="B1814" s="8">
        <v>1811</v>
      </c>
      <c r="C1814" s="8" t="s">
        <v>1808</v>
      </c>
      <c r="D1814" s="8" t="s">
        <v>1809</v>
      </c>
      <c r="E1814" s="39">
        <v>431000</v>
      </c>
      <c r="F1814" s="40" t="s">
        <v>1552</v>
      </c>
    </row>
    <row r="1815" spans="2:6" hidden="1">
      <c r="B1815" s="8">
        <v>1812</v>
      </c>
      <c r="C1815" s="8" t="s">
        <v>908</v>
      </c>
      <c r="D1815" s="8" t="s">
        <v>456</v>
      </c>
      <c r="E1815" s="39">
        <v>126000</v>
      </c>
      <c r="F1815" s="40" t="s">
        <v>1552</v>
      </c>
    </row>
    <row r="1816" spans="2:6" hidden="1">
      <c r="B1816" s="8">
        <v>1813</v>
      </c>
      <c r="C1816" s="8" t="s">
        <v>908</v>
      </c>
      <c r="D1816" s="8" t="s">
        <v>838</v>
      </c>
      <c r="E1816" s="39">
        <v>160000</v>
      </c>
      <c r="F1816" s="40" t="s">
        <v>1552</v>
      </c>
    </row>
    <row r="1817" spans="2:6" hidden="1">
      <c r="B1817" s="8">
        <v>1814</v>
      </c>
      <c r="C1817" s="8" t="s">
        <v>908</v>
      </c>
      <c r="D1817" s="8" t="s">
        <v>1810</v>
      </c>
      <c r="E1817" s="39">
        <v>295000</v>
      </c>
      <c r="F1817" s="40" t="s">
        <v>1552</v>
      </c>
    </row>
    <row r="1818" spans="2:6" hidden="1">
      <c r="B1818" s="8">
        <v>1815</v>
      </c>
      <c r="C1818" s="8" t="s">
        <v>1446</v>
      </c>
      <c r="D1818" s="8" t="s">
        <v>334</v>
      </c>
      <c r="E1818" s="39">
        <v>100000</v>
      </c>
      <c r="F1818" s="40" t="s">
        <v>1552</v>
      </c>
    </row>
    <row r="1819" spans="2:6" hidden="1">
      <c r="B1819" s="8">
        <v>1816</v>
      </c>
      <c r="C1819" s="8" t="s">
        <v>1446</v>
      </c>
      <c r="D1819" s="8" t="s">
        <v>640</v>
      </c>
      <c r="E1819" s="39">
        <v>204000</v>
      </c>
      <c r="F1819" s="40" t="s">
        <v>1552</v>
      </c>
    </row>
    <row r="1820" spans="2:6" hidden="1">
      <c r="B1820" s="8">
        <v>1817</v>
      </c>
      <c r="C1820" s="8" t="s">
        <v>1446</v>
      </c>
      <c r="D1820" s="8" t="s">
        <v>681</v>
      </c>
      <c r="E1820" s="39">
        <v>116000</v>
      </c>
      <c r="F1820" s="40" t="s">
        <v>1552</v>
      </c>
    </row>
    <row r="1821" spans="2:6" hidden="1">
      <c r="B1821" s="8">
        <v>1818</v>
      </c>
      <c r="C1821" s="8" t="s">
        <v>1811</v>
      </c>
      <c r="D1821" s="8" t="s">
        <v>1564</v>
      </c>
      <c r="E1821" s="39">
        <v>200000</v>
      </c>
      <c r="F1821" s="40" t="s">
        <v>1552</v>
      </c>
    </row>
    <row r="1822" spans="2:6" hidden="1">
      <c r="B1822" s="8">
        <v>1819</v>
      </c>
      <c r="C1822" s="8" t="s">
        <v>910</v>
      </c>
      <c r="D1822" s="8" t="s">
        <v>552</v>
      </c>
      <c r="E1822" s="39">
        <v>107000</v>
      </c>
      <c r="F1822" s="40" t="s">
        <v>1552</v>
      </c>
    </row>
    <row r="1823" spans="2:6" hidden="1">
      <c r="B1823" s="8">
        <v>1820</v>
      </c>
      <c r="C1823" s="8" t="s">
        <v>913</v>
      </c>
      <c r="D1823" s="8" t="s">
        <v>1812</v>
      </c>
      <c r="E1823" s="39">
        <v>147000</v>
      </c>
      <c r="F1823" s="40" t="s">
        <v>1552</v>
      </c>
    </row>
    <row r="1824" spans="2:6" hidden="1">
      <c r="B1824" s="8">
        <v>1821</v>
      </c>
      <c r="C1824" s="8" t="s">
        <v>914</v>
      </c>
      <c r="D1824" s="8" t="s">
        <v>449</v>
      </c>
      <c r="E1824" s="39">
        <v>70000</v>
      </c>
      <c r="F1824" s="40" t="s">
        <v>1552</v>
      </c>
    </row>
    <row r="1825" spans="2:6" hidden="1">
      <c r="B1825" s="8">
        <v>1822</v>
      </c>
      <c r="C1825" s="8" t="s">
        <v>914</v>
      </c>
      <c r="D1825" s="8" t="s">
        <v>198</v>
      </c>
      <c r="E1825" s="39">
        <v>275000</v>
      </c>
      <c r="F1825" s="40" t="s">
        <v>1552</v>
      </c>
    </row>
    <row r="1826" spans="2:6" hidden="1">
      <c r="B1826" s="8">
        <v>1823</v>
      </c>
      <c r="C1826" s="8" t="s">
        <v>914</v>
      </c>
      <c r="D1826" s="8" t="s">
        <v>1813</v>
      </c>
      <c r="E1826" s="39">
        <v>176000</v>
      </c>
      <c r="F1826" s="40" t="s">
        <v>1552</v>
      </c>
    </row>
    <row r="1827" spans="2:6" hidden="1">
      <c r="B1827" s="8">
        <v>1824</v>
      </c>
      <c r="C1827" s="8" t="s">
        <v>1814</v>
      </c>
      <c r="D1827" s="8" t="s">
        <v>317</v>
      </c>
      <c r="E1827" s="39">
        <v>262000</v>
      </c>
      <c r="F1827" s="40" t="s">
        <v>1552</v>
      </c>
    </row>
    <row r="1828" spans="2:6" hidden="1">
      <c r="B1828" s="8">
        <v>1825</v>
      </c>
      <c r="C1828" s="8" t="s">
        <v>1815</v>
      </c>
      <c r="D1828" s="8" t="s">
        <v>198</v>
      </c>
      <c r="E1828" s="39">
        <v>125000</v>
      </c>
      <c r="F1828" s="40" t="s">
        <v>1552</v>
      </c>
    </row>
    <row r="1829" spans="2:6" hidden="1">
      <c r="B1829" s="8">
        <v>1826</v>
      </c>
      <c r="C1829" s="8" t="s">
        <v>1816</v>
      </c>
      <c r="D1829" s="8" t="s">
        <v>1817</v>
      </c>
      <c r="E1829" s="39">
        <v>264000</v>
      </c>
      <c r="F1829" s="40" t="s">
        <v>1552</v>
      </c>
    </row>
    <row r="1830" spans="2:6" hidden="1">
      <c r="B1830" s="8">
        <v>1827</v>
      </c>
      <c r="C1830" s="8" t="s">
        <v>916</v>
      </c>
      <c r="D1830" s="8" t="s">
        <v>204</v>
      </c>
      <c r="E1830" s="39">
        <v>224000</v>
      </c>
      <c r="F1830" s="40" t="s">
        <v>1552</v>
      </c>
    </row>
    <row r="1831" spans="2:6" hidden="1">
      <c r="B1831" s="8">
        <v>1828</v>
      </c>
      <c r="C1831" s="8" t="s">
        <v>1818</v>
      </c>
      <c r="D1831" s="8" t="s">
        <v>1819</v>
      </c>
      <c r="E1831" s="39">
        <v>208000</v>
      </c>
      <c r="F1831" s="40" t="s">
        <v>1552</v>
      </c>
    </row>
    <row r="1832" spans="2:6" hidden="1">
      <c r="B1832" s="8">
        <v>1829</v>
      </c>
      <c r="C1832" s="8" t="s">
        <v>1818</v>
      </c>
      <c r="D1832" s="8" t="s">
        <v>659</v>
      </c>
      <c r="E1832" s="39">
        <v>598000</v>
      </c>
      <c r="F1832" s="40" t="s">
        <v>1552</v>
      </c>
    </row>
    <row r="1833" spans="2:6" hidden="1">
      <c r="B1833" s="8">
        <v>1830</v>
      </c>
      <c r="C1833" s="8" t="s">
        <v>1818</v>
      </c>
      <c r="D1833" s="8" t="s">
        <v>1820</v>
      </c>
      <c r="E1833" s="39">
        <v>216000</v>
      </c>
      <c r="F1833" s="40" t="s">
        <v>1552</v>
      </c>
    </row>
    <row r="1834" spans="2:6" hidden="1">
      <c r="B1834" s="8">
        <v>1831</v>
      </c>
      <c r="C1834" s="8" t="s">
        <v>1451</v>
      </c>
      <c r="D1834" s="8" t="s">
        <v>1821</v>
      </c>
      <c r="E1834" s="39">
        <v>127000</v>
      </c>
      <c r="F1834" s="40" t="s">
        <v>1552</v>
      </c>
    </row>
    <row r="1835" spans="2:6" hidden="1">
      <c r="B1835" s="8">
        <v>1832</v>
      </c>
      <c r="C1835" s="8" t="s">
        <v>1451</v>
      </c>
      <c r="D1835" s="8" t="s">
        <v>1822</v>
      </c>
      <c r="E1835" s="39">
        <v>669000</v>
      </c>
      <c r="F1835" s="40" t="s">
        <v>1552</v>
      </c>
    </row>
    <row r="1836" spans="2:6" hidden="1">
      <c r="B1836" s="8">
        <v>1833</v>
      </c>
      <c r="C1836" s="8" t="s">
        <v>1451</v>
      </c>
      <c r="D1836" s="8" t="s">
        <v>819</v>
      </c>
      <c r="E1836" s="39">
        <v>136000</v>
      </c>
      <c r="F1836" s="40" t="s">
        <v>1552</v>
      </c>
    </row>
    <row r="1837" spans="2:6" hidden="1">
      <c r="B1837" s="8">
        <v>1834</v>
      </c>
      <c r="C1837" s="8" t="s">
        <v>917</v>
      </c>
      <c r="D1837" s="8" t="s">
        <v>1797</v>
      </c>
      <c r="E1837" s="39">
        <v>121000</v>
      </c>
      <c r="F1837" s="40" t="s">
        <v>1552</v>
      </c>
    </row>
    <row r="1838" spans="2:6" hidden="1">
      <c r="B1838" s="8">
        <v>1835</v>
      </c>
      <c r="C1838" s="8" t="s">
        <v>919</v>
      </c>
      <c r="D1838" s="8" t="s">
        <v>1823</v>
      </c>
      <c r="E1838" s="39">
        <v>53000</v>
      </c>
      <c r="F1838" s="40" t="s">
        <v>1552</v>
      </c>
    </row>
    <row r="1839" spans="2:6" hidden="1">
      <c r="B1839" s="8">
        <v>1836</v>
      </c>
      <c r="C1839" s="8" t="s">
        <v>928</v>
      </c>
      <c r="D1839" s="8" t="s">
        <v>198</v>
      </c>
      <c r="E1839" s="39">
        <v>253000</v>
      </c>
      <c r="F1839" s="40" t="s">
        <v>1552</v>
      </c>
    </row>
    <row r="1840" spans="2:6" hidden="1">
      <c r="B1840" s="8">
        <v>1837</v>
      </c>
      <c r="C1840" s="8" t="s">
        <v>1824</v>
      </c>
      <c r="D1840" s="8" t="s">
        <v>199</v>
      </c>
      <c r="E1840" s="39">
        <v>167000</v>
      </c>
      <c r="F1840" s="40" t="s">
        <v>1552</v>
      </c>
    </row>
    <row r="1841" spans="2:6" hidden="1">
      <c r="B1841" s="8">
        <v>1838</v>
      </c>
      <c r="C1841" s="8" t="s">
        <v>931</v>
      </c>
      <c r="D1841" s="8" t="s">
        <v>317</v>
      </c>
      <c r="E1841" s="39">
        <v>377000</v>
      </c>
      <c r="F1841" s="40" t="s">
        <v>1552</v>
      </c>
    </row>
    <row r="1842" spans="2:6" hidden="1">
      <c r="B1842" s="8">
        <v>1839</v>
      </c>
      <c r="C1842" s="8" t="s">
        <v>933</v>
      </c>
      <c r="D1842" s="8" t="s">
        <v>1825</v>
      </c>
      <c r="E1842" s="39">
        <v>236000</v>
      </c>
      <c r="F1842" s="40" t="s">
        <v>1552</v>
      </c>
    </row>
    <row r="1843" spans="2:6" hidden="1">
      <c r="B1843" s="8">
        <v>1840</v>
      </c>
      <c r="C1843" s="8" t="s">
        <v>933</v>
      </c>
      <c r="D1843" s="8" t="s">
        <v>1826</v>
      </c>
      <c r="E1843" s="39">
        <v>53000</v>
      </c>
      <c r="F1843" s="40" t="s">
        <v>1552</v>
      </c>
    </row>
    <row r="1844" spans="2:6" hidden="1">
      <c r="B1844" s="8">
        <v>1841</v>
      </c>
      <c r="C1844" s="8" t="s">
        <v>1827</v>
      </c>
      <c r="D1844" s="8" t="s">
        <v>1828</v>
      </c>
      <c r="E1844" s="39">
        <v>107000</v>
      </c>
      <c r="F1844" s="40" t="s">
        <v>1552</v>
      </c>
    </row>
    <row r="1845" spans="2:6" hidden="1">
      <c r="B1845" s="8">
        <v>1842</v>
      </c>
      <c r="C1845" s="8" t="s">
        <v>936</v>
      </c>
      <c r="D1845" s="8" t="s">
        <v>1829</v>
      </c>
      <c r="E1845" s="39">
        <v>619000</v>
      </c>
      <c r="F1845" s="40" t="s">
        <v>1552</v>
      </c>
    </row>
    <row r="1846" spans="2:6" hidden="1">
      <c r="B1846" s="8">
        <v>1843</v>
      </c>
      <c r="C1846" s="8" t="s">
        <v>936</v>
      </c>
      <c r="D1846" s="8" t="s">
        <v>204</v>
      </c>
      <c r="E1846" s="39">
        <v>177000</v>
      </c>
      <c r="F1846" s="40" t="s">
        <v>1552</v>
      </c>
    </row>
    <row r="1847" spans="2:6" hidden="1">
      <c r="B1847" s="8">
        <v>1844</v>
      </c>
      <c r="C1847" s="8" t="s">
        <v>1455</v>
      </c>
      <c r="D1847" s="8" t="s">
        <v>1830</v>
      </c>
      <c r="E1847" s="39">
        <v>176000</v>
      </c>
      <c r="F1847" s="40" t="s">
        <v>1552</v>
      </c>
    </row>
    <row r="1848" spans="2:6" hidden="1">
      <c r="B1848" s="8">
        <v>1845</v>
      </c>
      <c r="C1848" s="8" t="s">
        <v>1456</v>
      </c>
      <c r="D1848" s="8" t="s">
        <v>1831</v>
      </c>
      <c r="E1848" s="39">
        <v>204000</v>
      </c>
      <c r="F1848" s="40" t="s">
        <v>1552</v>
      </c>
    </row>
    <row r="1849" spans="2:6" hidden="1">
      <c r="B1849" s="8">
        <v>1846</v>
      </c>
      <c r="C1849" s="8" t="s">
        <v>1457</v>
      </c>
      <c r="D1849" s="8" t="s">
        <v>577</v>
      </c>
      <c r="E1849" s="39">
        <v>243000</v>
      </c>
      <c r="F1849" s="40" t="s">
        <v>1552</v>
      </c>
    </row>
    <row r="1850" spans="2:6" hidden="1">
      <c r="B1850" s="8">
        <v>1847</v>
      </c>
      <c r="C1850" s="8" t="s">
        <v>939</v>
      </c>
      <c r="D1850" s="8" t="s">
        <v>456</v>
      </c>
      <c r="E1850" s="39">
        <v>1261000</v>
      </c>
      <c r="F1850" s="40" t="s">
        <v>1552</v>
      </c>
    </row>
    <row r="1851" spans="2:6" hidden="1">
      <c r="B1851" s="8">
        <v>1848</v>
      </c>
      <c r="C1851" s="8" t="s">
        <v>1459</v>
      </c>
      <c r="D1851" s="8" t="s">
        <v>1832</v>
      </c>
      <c r="E1851" s="39">
        <v>429000</v>
      </c>
      <c r="F1851" s="40" t="s">
        <v>1552</v>
      </c>
    </row>
    <row r="1852" spans="2:6" hidden="1">
      <c r="B1852" s="8">
        <v>1849</v>
      </c>
      <c r="C1852" s="8" t="s">
        <v>1459</v>
      </c>
      <c r="D1852" s="8" t="s">
        <v>198</v>
      </c>
      <c r="E1852" s="39">
        <v>1225000</v>
      </c>
      <c r="F1852" s="40" t="s">
        <v>1552</v>
      </c>
    </row>
    <row r="1853" spans="2:6" hidden="1">
      <c r="B1853" s="8">
        <v>1850</v>
      </c>
      <c r="C1853" s="8" t="s">
        <v>943</v>
      </c>
      <c r="D1853" s="8" t="s">
        <v>1833</v>
      </c>
      <c r="E1853" s="39">
        <v>53000</v>
      </c>
      <c r="F1853" s="40" t="s">
        <v>1552</v>
      </c>
    </row>
    <row r="1854" spans="2:6" hidden="1">
      <c r="B1854" s="8">
        <v>1851</v>
      </c>
      <c r="C1854" s="8" t="s">
        <v>944</v>
      </c>
      <c r="D1854" s="8" t="s">
        <v>1564</v>
      </c>
      <c r="E1854" s="39">
        <v>200000</v>
      </c>
      <c r="F1854" s="40" t="s">
        <v>1552</v>
      </c>
    </row>
    <row r="1855" spans="2:6" hidden="1">
      <c r="B1855" s="8">
        <v>1852</v>
      </c>
      <c r="C1855" s="8" t="s">
        <v>944</v>
      </c>
      <c r="D1855" s="8" t="s">
        <v>708</v>
      </c>
      <c r="E1855" s="39">
        <v>451000</v>
      </c>
      <c r="F1855" s="40" t="s">
        <v>1552</v>
      </c>
    </row>
    <row r="1856" spans="2:6" hidden="1">
      <c r="B1856" s="8">
        <v>1853</v>
      </c>
      <c r="C1856" s="8" t="s">
        <v>944</v>
      </c>
      <c r="D1856" s="8" t="s">
        <v>534</v>
      </c>
      <c r="E1856" s="39">
        <v>53000</v>
      </c>
      <c r="F1856" s="40" t="s">
        <v>1552</v>
      </c>
    </row>
    <row r="1857" spans="2:6" hidden="1">
      <c r="B1857" s="8">
        <v>1854</v>
      </c>
      <c r="C1857" s="8" t="s">
        <v>1834</v>
      </c>
      <c r="D1857" s="8" t="s">
        <v>1835</v>
      </c>
      <c r="E1857" s="39">
        <v>99000</v>
      </c>
      <c r="F1857" s="40" t="s">
        <v>1552</v>
      </c>
    </row>
    <row r="1858" spans="2:6" hidden="1">
      <c r="B1858" s="8">
        <v>1855</v>
      </c>
      <c r="C1858" s="8" t="s">
        <v>1834</v>
      </c>
      <c r="D1858" s="8" t="s">
        <v>1836</v>
      </c>
      <c r="E1858" s="39">
        <v>193000</v>
      </c>
      <c r="F1858" s="40" t="s">
        <v>1552</v>
      </c>
    </row>
    <row r="1859" spans="2:6" hidden="1">
      <c r="B1859" s="8">
        <v>1856</v>
      </c>
      <c r="C1859" s="8" t="s">
        <v>1465</v>
      </c>
      <c r="D1859" s="8" t="s">
        <v>838</v>
      </c>
      <c r="E1859" s="39">
        <v>99000</v>
      </c>
      <c r="F1859" s="40" t="s">
        <v>1552</v>
      </c>
    </row>
    <row r="1860" spans="2:6" hidden="1">
      <c r="B1860" s="8">
        <v>1857</v>
      </c>
      <c r="C1860" s="8" t="s">
        <v>1465</v>
      </c>
      <c r="D1860" s="8" t="s">
        <v>876</v>
      </c>
      <c r="E1860" s="39">
        <v>198000</v>
      </c>
      <c r="F1860" s="40" t="s">
        <v>1552</v>
      </c>
    </row>
    <row r="1861" spans="2:6" hidden="1">
      <c r="B1861" s="8">
        <v>1858</v>
      </c>
      <c r="C1861" s="8" t="s">
        <v>1465</v>
      </c>
      <c r="D1861" s="8" t="s">
        <v>405</v>
      </c>
      <c r="E1861" s="39">
        <v>121000</v>
      </c>
      <c r="F1861" s="40" t="s">
        <v>1552</v>
      </c>
    </row>
    <row r="1862" spans="2:6" hidden="1">
      <c r="B1862" s="8">
        <v>1859</v>
      </c>
      <c r="C1862" s="8" t="s">
        <v>1468</v>
      </c>
      <c r="D1862" s="8" t="s">
        <v>1837</v>
      </c>
      <c r="E1862" s="39">
        <v>111000</v>
      </c>
      <c r="F1862" s="40" t="s">
        <v>1552</v>
      </c>
    </row>
    <row r="1863" spans="2:6" hidden="1">
      <c r="B1863" s="8">
        <v>1860</v>
      </c>
      <c r="C1863" s="8" t="s">
        <v>1468</v>
      </c>
      <c r="D1863" s="8" t="s">
        <v>1838</v>
      </c>
      <c r="E1863" s="39">
        <v>94000</v>
      </c>
      <c r="F1863" s="40" t="s">
        <v>1552</v>
      </c>
    </row>
    <row r="1864" spans="2:6" hidden="1">
      <c r="B1864" s="8">
        <v>1861</v>
      </c>
      <c r="C1864" s="8" t="s">
        <v>955</v>
      </c>
      <c r="D1864" s="8" t="s">
        <v>1839</v>
      </c>
      <c r="E1864" s="39">
        <v>853000</v>
      </c>
      <c r="F1864" s="40" t="s">
        <v>1552</v>
      </c>
    </row>
    <row r="1865" spans="2:6" hidden="1">
      <c r="B1865" s="8">
        <v>1862</v>
      </c>
      <c r="C1865" s="8" t="s">
        <v>955</v>
      </c>
      <c r="D1865" s="8" t="s">
        <v>204</v>
      </c>
      <c r="E1865" s="39">
        <v>431000</v>
      </c>
      <c r="F1865" s="40" t="s">
        <v>1552</v>
      </c>
    </row>
    <row r="1866" spans="2:6" hidden="1">
      <c r="B1866" s="8">
        <v>1863</v>
      </c>
      <c r="C1866" s="8" t="s">
        <v>955</v>
      </c>
      <c r="D1866" s="8" t="s">
        <v>775</v>
      </c>
      <c r="E1866" s="39">
        <v>259000</v>
      </c>
      <c r="F1866" s="40" t="s">
        <v>1552</v>
      </c>
    </row>
    <row r="1867" spans="2:6" hidden="1">
      <c r="B1867" s="8">
        <v>1864</v>
      </c>
      <c r="C1867" s="8" t="s">
        <v>959</v>
      </c>
      <c r="D1867" s="8" t="s">
        <v>371</v>
      </c>
      <c r="E1867" s="39">
        <v>85000</v>
      </c>
      <c r="F1867" s="40" t="s">
        <v>1552</v>
      </c>
    </row>
    <row r="1868" spans="2:6" hidden="1">
      <c r="B1868" s="8">
        <v>1865</v>
      </c>
      <c r="C1868" s="8" t="s">
        <v>1477</v>
      </c>
      <c r="D1868" s="8" t="s">
        <v>219</v>
      </c>
      <c r="E1868" s="39">
        <v>212000</v>
      </c>
      <c r="F1868" s="40" t="s">
        <v>1552</v>
      </c>
    </row>
    <row r="1869" spans="2:6" hidden="1">
      <c r="B1869" s="8">
        <v>1866</v>
      </c>
      <c r="C1869" s="8" t="s">
        <v>1840</v>
      </c>
      <c r="D1869" s="8" t="s">
        <v>1801</v>
      </c>
      <c r="E1869" s="39">
        <v>772000</v>
      </c>
      <c r="F1869" s="40" t="s">
        <v>1552</v>
      </c>
    </row>
    <row r="1870" spans="2:6" hidden="1">
      <c r="B1870" s="8">
        <v>1867</v>
      </c>
      <c r="C1870" s="8" t="s">
        <v>964</v>
      </c>
      <c r="D1870" s="8" t="s">
        <v>1841</v>
      </c>
      <c r="E1870" s="39">
        <v>62000</v>
      </c>
      <c r="F1870" s="40" t="s">
        <v>1552</v>
      </c>
    </row>
    <row r="1871" spans="2:6" hidden="1">
      <c r="B1871" s="8">
        <v>1868</v>
      </c>
      <c r="C1871" s="8" t="s">
        <v>965</v>
      </c>
      <c r="D1871" s="8" t="s">
        <v>691</v>
      </c>
      <c r="E1871" s="39">
        <v>270000</v>
      </c>
      <c r="F1871" s="40" t="s">
        <v>1552</v>
      </c>
    </row>
    <row r="1872" spans="2:6" hidden="1">
      <c r="B1872" s="8">
        <v>1869</v>
      </c>
      <c r="C1872" s="8" t="s">
        <v>965</v>
      </c>
      <c r="D1872" s="8" t="s">
        <v>211</v>
      </c>
      <c r="E1872" s="39">
        <v>115000</v>
      </c>
      <c r="F1872" s="40" t="s">
        <v>1552</v>
      </c>
    </row>
    <row r="1873" spans="2:6" hidden="1">
      <c r="B1873" s="8">
        <v>1870</v>
      </c>
      <c r="C1873" s="8" t="s">
        <v>967</v>
      </c>
      <c r="D1873" s="8" t="s">
        <v>1842</v>
      </c>
      <c r="E1873" s="39">
        <v>152000</v>
      </c>
      <c r="F1873" s="40" t="s">
        <v>1552</v>
      </c>
    </row>
    <row r="1874" spans="2:6" hidden="1">
      <c r="B1874" s="8">
        <v>1871</v>
      </c>
      <c r="C1874" s="8" t="s">
        <v>1843</v>
      </c>
      <c r="D1874" s="8" t="s">
        <v>204</v>
      </c>
      <c r="E1874" s="39">
        <v>185000</v>
      </c>
      <c r="F1874" s="40" t="s">
        <v>1552</v>
      </c>
    </row>
    <row r="1875" spans="2:6" hidden="1">
      <c r="B1875" s="8">
        <v>1872</v>
      </c>
      <c r="C1875" s="8" t="s">
        <v>972</v>
      </c>
      <c r="D1875" s="8" t="s">
        <v>1844</v>
      </c>
      <c r="E1875" s="39">
        <v>383000</v>
      </c>
      <c r="F1875" s="40" t="s">
        <v>1552</v>
      </c>
    </row>
    <row r="1876" spans="2:6" hidden="1">
      <c r="B1876" s="8">
        <v>1873</v>
      </c>
      <c r="C1876" s="8" t="s">
        <v>972</v>
      </c>
      <c r="D1876" s="8" t="s">
        <v>305</v>
      </c>
      <c r="E1876" s="39">
        <v>256000</v>
      </c>
      <c r="F1876" s="40" t="s">
        <v>1552</v>
      </c>
    </row>
    <row r="1877" spans="2:6" hidden="1">
      <c r="B1877" s="8">
        <v>1874</v>
      </c>
      <c r="C1877" s="8" t="s">
        <v>974</v>
      </c>
      <c r="D1877" s="8" t="s">
        <v>1845</v>
      </c>
      <c r="E1877" s="39">
        <v>90000</v>
      </c>
      <c r="F1877" s="40" t="s">
        <v>1552</v>
      </c>
    </row>
    <row r="1878" spans="2:6" hidden="1">
      <c r="B1878" s="8">
        <v>1875</v>
      </c>
      <c r="C1878" s="8" t="s">
        <v>974</v>
      </c>
      <c r="D1878" s="8" t="s">
        <v>1846</v>
      </c>
      <c r="E1878" s="39">
        <v>118000</v>
      </c>
      <c r="F1878" s="40" t="s">
        <v>1552</v>
      </c>
    </row>
    <row r="1879" spans="2:6" hidden="1">
      <c r="B1879" s="8">
        <v>1876</v>
      </c>
      <c r="C1879" s="8" t="s">
        <v>1483</v>
      </c>
      <c r="D1879" s="8" t="s">
        <v>534</v>
      </c>
      <c r="E1879" s="39">
        <v>53000</v>
      </c>
      <c r="F1879" s="40" t="s">
        <v>1552</v>
      </c>
    </row>
    <row r="1880" spans="2:6" hidden="1">
      <c r="B1880" s="8">
        <v>1877</v>
      </c>
      <c r="C1880" s="8" t="s">
        <v>984</v>
      </c>
      <c r="D1880" s="8" t="s">
        <v>985</v>
      </c>
      <c r="E1880" s="39">
        <v>422000</v>
      </c>
      <c r="F1880" s="40" t="s">
        <v>1552</v>
      </c>
    </row>
    <row r="1881" spans="2:6" hidden="1">
      <c r="B1881" s="8">
        <v>1878</v>
      </c>
      <c r="C1881" s="8" t="s">
        <v>990</v>
      </c>
      <c r="D1881" s="8" t="s">
        <v>1847</v>
      </c>
      <c r="E1881" s="39">
        <v>395000</v>
      </c>
      <c r="F1881" s="40" t="s">
        <v>1552</v>
      </c>
    </row>
    <row r="1882" spans="2:6" hidden="1">
      <c r="B1882" s="8">
        <v>1879</v>
      </c>
      <c r="C1882" s="8" t="s">
        <v>996</v>
      </c>
      <c r="D1882" s="8" t="s">
        <v>1595</v>
      </c>
      <c r="E1882" s="39">
        <v>63000</v>
      </c>
      <c r="F1882" s="40" t="s">
        <v>1552</v>
      </c>
    </row>
    <row r="1883" spans="2:6" hidden="1">
      <c r="B1883" s="8">
        <v>1880</v>
      </c>
      <c r="C1883" s="8" t="s">
        <v>996</v>
      </c>
      <c r="D1883" s="8" t="s">
        <v>204</v>
      </c>
      <c r="E1883" s="39">
        <v>144000</v>
      </c>
      <c r="F1883" s="40" t="s">
        <v>1552</v>
      </c>
    </row>
    <row r="1884" spans="2:6" hidden="1">
      <c r="B1884" s="8">
        <v>1881</v>
      </c>
      <c r="C1884" s="8" t="s">
        <v>998</v>
      </c>
      <c r="D1884" s="8" t="s">
        <v>282</v>
      </c>
      <c r="E1884" s="39">
        <v>147000</v>
      </c>
      <c r="F1884" s="40" t="s">
        <v>1552</v>
      </c>
    </row>
    <row r="1885" spans="2:6" hidden="1">
      <c r="B1885" s="8">
        <v>1882</v>
      </c>
      <c r="C1885" s="8" t="s">
        <v>1003</v>
      </c>
      <c r="D1885" s="8" t="s">
        <v>456</v>
      </c>
      <c r="E1885" s="39">
        <v>228000</v>
      </c>
      <c r="F1885" s="40" t="s">
        <v>1552</v>
      </c>
    </row>
    <row r="1886" spans="2:6" hidden="1">
      <c r="B1886" s="8">
        <v>1883</v>
      </c>
      <c r="C1886" s="8" t="s">
        <v>1003</v>
      </c>
      <c r="D1886" s="8" t="s">
        <v>1848</v>
      </c>
      <c r="E1886" s="39">
        <v>381000</v>
      </c>
      <c r="F1886" s="40" t="s">
        <v>1552</v>
      </c>
    </row>
    <row r="1887" spans="2:6" hidden="1">
      <c r="B1887" s="8">
        <v>1884</v>
      </c>
      <c r="C1887" s="8" t="s">
        <v>1003</v>
      </c>
      <c r="D1887" s="8" t="s">
        <v>211</v>
      </c>
      <c r="E1887" s="39">
        <v>130000</v>
      </c>
      <c r="F1887" s="40" t="s">
        <v>1552</v>
      </c>
    </row>
    <row r="1888" spans="2:6" hidden="1">
      <c r="B1888" s="8">
        <v>1885</v>
      </c>
      <c r="C1888" s="8" t="s">
        <v>1849</v>
      </c>
      <c r="D1888" s="8" t="s">
        <v>1850</v>
      </c>
      <c r="E1888" s="39">
        <v>656000</v>
      </c>
      <c r="F1888" s="40" t="s">
        <v>1552</v>
      </c>
    </row>
    <row r="1889" spans="2:6" hidden="1">
      <c r="B1889" s="8">
        <v>1886</v>
      </c>
      <c r="C1889" s="8" t="s">
        <v>1849</v>
      </c>
      <c r="D1889" s="8" t="s">
        <v>637</v>
      </c>
      <c r="E1889" s="39">
        <v>78000</v>
      </c>
      <c r="F1889" s="40" t="s">
        <v>1552</v>
      </c>
    </row>
    <row r="1890" spans="2:6" hidden="1">
      <c r="B1890" s="8">
        <v>1887</v>
      </c>
      <c r="C1890" s="8" t="s">
        <v>1007</v>
      </c>
      <c r="D1890" s="8" t="s">
        <v>1851</v>
      </c>
      <c r="E1890" s="39">
        <v>156000</v>
      </c>
      <c r="F1890" s="40" t="s">
        <v>1552</v>
      </c>
    </row>
    <row r="1891" spans="2:6" hidden="1">
      <c r="B1891" s="8">
        <v>1888</v>
      </c>
      <c r="C1891" s="8" t="s">
        <v>1007</v>
      </c>
      <c r="D1891" s="8" t="s">
        <v>1852</v>
      </c>
      <c r="E1891" s="39">
        <v>123000</v>
      </c>
      <c r="F1891" s="40" t="s">
        <v>1552</v>
      </c>
    </row>
    <row r="1892" spans="2:6" hidden="1">
      <c r="B1892" s="8">
        <v>1889</v>
      </c>
      <c r="C1892" s="8" t="s">
        <v>1009</v>
      </c>
      <c r="D1892" s="8" t="s">
        <v>1853</v>
      </c>
      <c r="E1892" s="39">
        <v>266000</v>
      </c>
      <c r="F1892" s="40" t="s">
        <v>1552</v>
      </c>
    </row>
    <row r="1893" spans="2:6" hidden="1">
      <c r="B1893" s="8">
        <v>1890</v>
      </c>
      <c r="C1893" s="8" t="s">
        <v>1009</v>
      </c>
      <c r="D1893" s="8" t="s">
        <v>1854</v>
      </c>
      <c r="E1893" s="39">
        <v>185000</v>
      </c>
      <c r="F1893" s="40" t="s">
        <v>1552</v>
      </c>
    </row>
    <row r="1894" spans="2:6" hidden="1">
      <c r="B1894" s="8">
        <v>1891</v>
      </c>
      <c r="C1894" s="8" t="s">
        <v>1017</v>
      </c>
      <c r="D1894" s="8" t="s">
        <v>1855</v>
      </c>
      <c r="E1894" s="39">
        <v>154000</v>
      </c>
      <c r="F1894" s="40" t="s">
        <v>1552</v>
      </c>
    </row>
    <row r="1895" spans="2:6" hidden="1">
      <c r="B1895" s="8">
        <v>1892</v>
      </c>
      <c r="C1895" s="8" t="s">
        <v>1018</v>
      </c>
      <c r="D1895" s="8" t="s">
        <v>813</v>
      </c>
      <c r="E1895" s="39">
        <v>165000</v>
      </c>
      <c r="F1895" s="40" t="s">
        <v>1552</v>
      </c>
    </row>
    <row r="1896" spans="2:6" hidden="1">
      <c r="B1896" s="8">
        <v>1893</v>
      </c>
      <c r="C1896" s="8" t="s">
        <v>1856</v>
      </c>
      <c r="D1896" s="8" t="s">
        <v>1857</v>
      </c>
      <c r="E1896" s="39">
        <v>291000</v>
      </c>
      <c r="F1896" s="40" t="s">
        <v>1552</v>
      </c>
    </row>
    <row r="1897" spans="2:6" hidden="1">
      <c r="B1897" s="8">
        <v>1894</v>
      </c>
      <c r="C1897" s="8" t="s">
        <v>1858</v>
      </c>
      <c r="D1897" s="8" t="s">
        <v>217</v>
      </c>
      <c r="E1897" s="39">
        <v>2136000</v>
      </c>
      <c r="F1897" s="40" t="s">
        <v>1552</v>
      </c>
    </row>
    <row r="1898" spans="2:6" hidden="1">
      <c r="B1898" s="8">
        <v>1895</v>
      </c>
      <c r="C1898" s="8" t="s">
        <v>1023</v>
      </c>
      <c r="D1898" s="8" t="s">
        <v>1859</v>
      </c>
      <c r="E1898" s="39">
        <v>94000</v>
      </c>
      <c r="F1898" s="40" t="s">
        <v>1552</v>
      </c>
    </row>
    <row r="1899" spans="2:6" hidden="1">
      <c r="B1899" s="8">
        <v>1896</v>
      </c>
      <c r="C1899" s="8" t="s">
        <v>1023</v>
      </c>
      <c r="D1899" s="8" t="s">
        <v>1860</v>
      </c>
      <c r="E1899" s="39">
        <v>84000</v>
      </c>
      <c r="F1899" s="40" t="s">
        <v>1552</v>
      </c>
    </row>
    <row r="1900" spans="2:6" hidden="1">
      <c r="B1900" s="8">
        <v>1897</v>
      </c>
      <c r="C1900" s="8" t="s">
        <v>1029</v>
      </c>
      <c r="D1900" s="8" t="s">
        <v>198</v>
      </c>
      <c r="E1900" s="39">
        <v>284000</v>
      </c>
      <c r="F1900" s="40" t="s">
        <v>1552</v>
      </c>
    </row>
    <row r="1901" spans="2:6" hidden="1">
      <c r="B1901" s="8">
        <v>1898</v>
      </c>
      <c r="C1901" s="8" t="s">
        <v>1029</v>
      </c>
      <c r="D1901" s="8" t="s">
        <v>1861</v>
      </c>
      <c r="E1901" s="39">
        <v>197000</v>
      </c>
      <c r="F1901" s="40" t="s">
        <v>1552</v>
      </c>
    </row>
    <row r="1902" spans="2:6" hidden="1">
      <c r="B1902" s="8">
        <v>1899</v>
      </c>
      <c r="C1902" s="8" t="s">
        <v>1029</v>
      </c>
      <c r="D1902" s="8" t="s">
        <v>1862</v>
      </c>
      <c r="E1902" s="39">
        <v>144000</v>
      </c>
      <c r="F1902" s="40" t="s">
        <v>1552</v>
      </c>
    </row>
    <row r="1903" spans="2:6" hidden="1">
      <c r="B1903" s="8">
        <v>1900</v>
      </c>
      <c r="C1903" s="8" t="s">
        <v>1863</v>
      </c>
      <c r="D1903" s="8" t="s">
        <v>1864</v>
      </c>
      <c r="E1903" s="39">
        <v>136000</v>
      </c>
      <c r="F1903" s="40" t="s">
        <v>1552</v>
      </c>
    </row>
    <row r="1904" spans="2:6" hidden="1">
      <c r="B1904" s="8">
        <v>1901</v>
      </c>
      <c r="C1904" s="8" t="s">
        <v>1863</v>
      </c>
      <c r="D1904" s="8" t="s">
        <v>1865</v>
      </c>
      <c r="E1904" s="39">
        <v>174000</v>
      </c>
      <c r="F1904" s="40" t="s">
        <v>1552</v>
      </c>
    </row>
    <row r="1905" spans="2:6" hidden="1">
      <c r="B1905" s="8">
        <v>1902</v>
      </c>
      <c r="C1905" s="8" t="s">
        <v>1866</v>
      </c>
      <c r="D1905" s="8" t="s">
        <v>334</v>
      </c>
      <c r="E1905" s="39">
        <v>100000</v>
      </c>
      <c r="F1905" s="40" t="s">
        <v>1552</v>
      </c>
    </row>
    <row r="1906" spans="2:6" hidden="1">
      <c r="B1906" s="8">
        <v>1903</v>
      </c>
      <c r="C1906" s="8" t="s">
        <v>1039</v>
      </c>
      <c r="D1906" s="8" t="s">
        <v>305</v>
      </c>
      <c r="E1906" s="39">
        <v>174000</v>
      </c>
      <c r="F1906" s="40" t="s">
        <v>1552</v>
      </c>
    </row>
    <row r="1907" spans="2:6" hidden="1">
      <c r="B1907" s="8">
        <v>1904</v>
      </c>
      <c r="C1907" s="8" t="s">
        <v>1039</v>
      </c>
      <c r="D1907" s="8" t="s">
        <v>744</v>
      </c>
      <c r="E1907" s="39">
        <v>150000</v>
      </c>
      <c r="F1907" s="40" t="s">
        <v>1552</v>
      </c>
    </row>
    <row r="1908" spans="2:6" hidden="1">
      <c r="B1908" s="8">
        <v>1905</v>
      </c>
      <c r="C1908" s="8" t="s">
        <v>1867</v>
      </c>
      <c r="D1908" s="8" t="s">
        <v>317</v>
      </c>
      <c r="E1908" s="39">
        <v>289000</v>
      </c>
      <c r="F1908" s="40" t="s">
        <v>1552</v>
      </c>
    </row>
    <row r="1909" spans="2:6" hidden="1">
      <c r="B1909" s="8">
        <v>1906</v>
      </c>
      <c r="C1909" s="8" t="s">
        <v>1867</v>
      </c>
      <c r="D1909" s="8" t="s">
        <v>198</v>
      </c>
      <c r="E1909" s="39">
        <v>275000</v>
      </c>
      <c r="F1909" s="40" t="s">
        <v>1552</v>
      </c>
    </row>
    <row r="1910" spans="2:6" hidden="1">
      <c r="B1910" s="8">
        <v>1907</v>
      </c>
      <c r="C1910" s="8" t="s">
        <v>1867</v>
      </c>
      <c r="D1910" s="8" t="s">
        <v>1564</v>
      </c>
      <c r="E1910" s="39">
        <v>200000</v>
      </c>
      <c r="F1910" s="40" t="s">
        <v>1552</v>
      </c>
    </row>
    <row r="1911" spans="2:6" hidden="1">
      <c r="B1911" s="8">
        <v>1908</v>
      </c>
      <c r="C1911" s="8" t="s">
        <v>1868</v>
      </c>
      <c r="D1911" s="8" t="s">
        <v>1005</v>
      </c>
      <c r="E1911" s="39">
        <v>191000</v>
      </c>
      <c r="F1911" s="40" t="s">
        <v>1552</v>
      </c>
    </row>
    <row r="1912" spans="2:6" hidden="1">
      <c r="B1912" s="8">
        <v>1909</v>
      </c>
      <c r="C1912" s="8" t="s">
        <v>1043</v>
      </c>
      <c r="D1912" s="8" t="s">
        <v>1287</v>
      </c>
      <c r="E1912" s="39">
        <v>1429000</v>
      </c>
      <c r="F1912" s="40" t="s">
        <v>1552</v>
      </c>
    </row>
    <row r="1913" spans="2:6" hidden="1">
      <c r="B1913" s="8">
        <v>1910</v>
      </c>
      <c r="C1913" s="8" t="s">
        <v>1043</v>
      </c>
      <c r="D1913" s="8" t="s">
        <v>1869</v>
      </c>
      <c r="E1913" s="39">
        <v>206000</v>
      </c>
      <c r="F1913" s="40" t="s">
        <v>1552</v>
      </c>
    </row>
    <row r="1914" spans="2:6" hidden="1">
      <c r="B1914" s="8">
        <v>1911</v>
      </c>
      <c r="C1914" s="8" t="s">
        <v>1870</v>
      </c>
      <c r="D1914" s="8" t="s">
        <v>911</v>
      </c>
      <c r="E1914" s="39">
        <v>121000</v>
      </c>
      <c r="F1914" s="40" t="s">
        <v>1552</v>
      </c>
    </row>
    <row r="1915" spans="2:6" hidden="1">
      <c r="B1915" s="8">
        <v>1912</v>
      </c>
      <c r="C1915" s="8" t="s">
        <v>1871</v>
      </c>
      <c r="D1915" s="8" t="s">
        <v>1872</v>
      </c>
      <c r="E1915" s="39">
        <v>274000</v>
      </c>
      <c r="F1915" s="40" t="s">
        <v>1552</v>
      </c>
    </row>
    <row r="1916" spans="2:6" hidden="1">
      <c r="B1916" s="8">
        <v>1913</v>
      </c>
      <c r="C1916" s="8" t="s">
        <v>1873</v>
      </c>
      <c r="D1916" s="8" t="s">
        <v>1271</v>
      </c>
      <c r="E1916" s="39">
        <v>340000</v>
      </c>
      <c r="F1916" s="40" t="s">
        <v>1552</v>
      </c>
    </row>
    <row r="1917" spans="2:6" hidden="1">
      <c r="B1917" s="8">
        <v>1914</v>
      </c>
      <c r="C1917" s="8" t="s">
        <v>1523</v>
      </c>
      <c r="D1917" s="8" t="s">
        <v>211</v>
      </c>
      <c r="E1917" s="39">
        <v>84000</v>
      </c>
      <c r="F1917" s="40" t="s">
        <v>1552</v>
      </c>
    </row>
    <row r="1918" spans="2:6" hidden="1">
      <c r="B1918" s="8">
        <v>1915</v>
      </c>
      <c r="C1918" s="8" t="s">
        <v>1523</v>
      </c>
      <c r="D1918" s="8" t="s">
        <v>1874</v>
      </c>
      <c r="E1918" s="39">
        <v>309000</v>
      </c>
      <c r="F1918" s="40" t="s">
        <v>1552</v>
      </c>
    </row>
    <row r="1919" spans="2:6" hidden="1">
      <c r="B1919" s="8">
        <v>1916</v>
      </c>
      <c r="C1919" s="8" t="s">
        <v>1875</v>
      </c>
      <c r="D1919" s="8" t="s">
        <v>813</v>
      </c>
      <c r="E1919" s="39">
        <v>2435000</v>
      </c>
      <c r="F1919" s="40" t="s">
        <v>1552</v>
      </c>
    </row>
    <row r="1920" spans="2:6" hidden="1">
      <c r="B1920" s="8">
        <v>1917</v>
      </c>
      <c r="C1920" s="8" t="s">
        <v>1049</v>
      </c>
      <c r="D1920" s="8" t="s">
        <v>217</v>
      </c>
      <c r="E1920" s="39">
        <v>1424000</v>
      </c>
      <c r="F1920" s="40" t="s">
        <v>1552</v>
      </c>
    </row>
    <row r="1921" spans="2:6" hidden="1">
      <c r="B1921" s="8">
        <v>1918</v>
      </c>
      <c r="C1921" s="8" t="s">
        <v>1527</v>
      </c>
      <c r="D1921" s="8" t="s">
        <v>961</v>
      </c>
      <c r="E1921" s="39">
        <v>203000</v>
      </c>
      <c r="F1921" s="40" t="s">
        <v>1552</v>
      </c>
    </row>
    <row r="1922" spans="2:6" hidden="1">
      <c r="B1922" s="8">
        <v>1919</v>
      </c>
      <c r="C1922" s="8" t="s">
        <v>1054</v>
      </c>
      <c r="D1922" s="8" t="s">
        <v>791</v>
      </c>
      <c r="E1922" s="39">
        <v>167000</v>
      </c>
      <c r="F1922" s="40" t="s">
        <v>1552</v>
      </c>
    </row>
    <row r="1923" spans="2:6" hidden="1">
      <c r="B1923" s="8">
        <v>1920</v>
      </c>
      <c r="C1923" s="8" t="s">
        <v>1876</v>
      </c>
      <c r="D1923" s="8" t="s">
        <v>1728</v>
      </c>
      <c r="E1923" s="39">
        <v>71000</v>
      </c>
      <c r="F1923" s="40" t="s">
        <v>1552</v>
      </c>
    </row>
    <row r="1924" spans="2:6" hidden="1">
      <c r="B1924" s="8">
        <v>1921</v>
      </c>
      <c r="C1924" s="8" t="s">
        <v>1055</v>
      </c>
      <c r="D1924" s="8" t="s">
        <v>900</v>
      </c>
      <c r="E1924" s="39">
        <v>92000</v>
      </c>
      <c r="F1924" s="40" t="s">
        <v>1552</v>
      </c>
    </row>
    <row r="1925" spans="2:6" hidden="1">
      <c r="B1925" s="8">
        <v>1922</v>
      </c>
      <c r="C1925" s="8" t="s">
        <v>1877</v>
      </c>
      <c r="D1925" s="8" t="s">
        <v>1878</v>
      </c>
      <c r="E1925" s="39">
        <v>267000</v>
      </c>
      <c r="F1925" s="40" t="s">
        <v>1552</v>
      </c>
    </row>
    <row r="1926" spans="2:6" hidden="1">
      <c r="B1926" s="8">
        <v>1923</v>
      </c>
      <c r="C1926" s="8" t="s">
        <v>1877</v>
      </c>
      <c r="D1926" s="8" t="s">
        <v>1015</v>
      </c>
      <c r="E1926" s="39">
        <v>367000</v>
      </c>
      <c r="F1926" s="40" t="s">
        <v>1552</v>
      </c>
    </row>
    <row r="1927" spans="2:6" hidden="1">
      <c r="B1927" s="8">
        <v>1924</v>
      </c>
      <c r="C1927" s="8" t="s">
        <v>1533</v>
      </c>
      <c r="D1927" s="8" t="s">
        <v>211</v>
      </c>
      <c r="E1927" s="39">
        <v>203000</v>
      </c>
      <c r="F1927" s="40" t="s">
        <v>1552</v>
      </c>
    </row>
    <row r="1928" spans="2:6" hidden="1">
      <c r="B1928" s="8">
        <v>1925</v>
      </c>
      <c r="C1928" s="8" t="s">
        <v>1879</v>
      </c>
      <c r="D1928" s="8" t="s">
        <v>1872</v>
      </c>
      <c r="E1928" s="39">
        <v>132000</v>
      </c>
      <c r="F1928" s="40" t="s">
        <v>1552</v>
      </c>
    </row>
    <row r="1929" spans="2:6" hidden="1">
      <c r="B1929" s="8">
        <v>1926</v>
      </c>
      <c r="C1929" s="8" t="s">
        <v>1880</v>
      </c>
      <c r="D1929" s="8" t="s">
        <v>211</v>
      </c>
      <c r="E1929" s="39">
        <v>53000</v>
      </c>
      <c r="F1929" s="40" t="s">
        <v>1552</v>
      </c>
    </row>
    <row r="1930" spans="2:6" hidden="1">
      <c r="B1930" s="8">
        <v>1927</v>
      </c>
      <c r="C1930" s="8" t="s">
        <v>1070</v>
      </c>
      <c r="D1930" s="8" t="s">
        <v>217</v>
      </c>
      <c r="E1930" s="39">
        <v>483000</v>
      </c>
      <c r="F1930" s="40" t="s">
        <v>1552</v>
      </c>
    </row>
    <row r="1931" spans="2:6" hidden="1">
      <c r="B1931" s="8">
        <v>1928</v>
      </c>
      <c r="C1931" s="8" t="s">
        <v>1881</v>
      </c>
      <c r="D1931" s="8" t="s">
        <v>217</v>
      </c>
      <c r="E1931" s="39">
        <v>444000</v>
      </c>
      <c r="F1931" s="40" t="s">
        <v>1552</v>
      </c>
    </row>
    <row r="1932" spans="2:6" hidden="1">
      <c r="B1932" s="8">
        <v>1929</v>
      </c>
      <c r="C1932" s="8" t="s">
        <v>1882</v>
      </c>
      <c r="D1932" s="8" t="s">
        <v>912</v>
      </c>
      <c r="E1932" s="39">
        <v>466000</v>
      </c>
      <c r="F1932" s="40" t="s">
        <v>1552</v>
      </c>
    </row>
    <row r="1933" spans="2:6" hidden="1">
      <c r="B1933" s="8">
        <v>1930</v>
      </c>
      <c r="C1933" s="8" t="s">
        <v>1883</v>
      </c>
      <c r="D1933" s="8" t="s">
        <v>317</v>
      </c>
      <c r="E1933" s="39">
        <v>138000</v>
      </c>
      <c r="F1933" s="40" t="s">
        <v>1552</v>
      </c>
    </row>
    <row r="1934" spans="2:6" hidden="1">
      <c r="B1934" s="8">
        <v>1931</v>
      </c>
      <c r="C1934" s="8" t="s">
        <v>1074</v>
      </c>
      <c r="D1934" s="8" t="s">
        <v>1569</v>
      </c>
      <c r="E1934" s="39">
        <v>317000</v>
      </c>
      <c r="F1934" s="40" t="s">
        <v>1552</v>
      </c>
    </row>
    <row r="1935" spans="2:6" hidden="1">
      <c r="B1935" s="8">
        <v>1932</v>
      </c>
      <c r="C1935" s="8" t="s">
        <v>1884</v>
      </c>
      <c r="D1935" s="8" t="s">
        <v>291</v>
      </c>
      <c r="E1935" s="39">
        <v>201000</v>
      </c>
      <c r="F1935" s="40" t="s">
        <v>1552</v>
      </c>
    </row>
    <row r="1936" spans="2:6" hidden="1">
      <c r="B1936" s="8">
        <v>1933</v>
      </c>
      <c r="C1936" s="8" t="s">
        <v>1885</v>
      </c>
      <c r="D1936" s="8" t="s">
        <v>1366</v>
      </c>
      <c r="E1936" s="39">
        <v>111000</v>
      </c>
      <c r="F1936" s="40" t="s">
        <v>1552</v>
      </c>
    </row>
    <row r="1937" spans="2:6" hidden="1">
      <c r="B1937" s="8">
        <v>1934</v>
      </c>
      <c r="C1937" s="8" t="s">
        <v>1886</v>
      </c>
      <c r="D1937" s="8" t="s">
        <v>204</v>
      </c>
      <c r="E1937" s="39">
        <v>239000</v>
      </c>
      <c r="F1937" s="40" t="s">
        <v>1552</v>
      </c>
    </row>
    <row r="1938" spans="2:6" hidden="1">
      <c r="B1938" s="8">
        <v>1935</v>
      </c>
      <c r="C1938" s="8" t="s">
        <v>1887</v>
      </c>
      <c r="D1938" s="8" t="s">
        <v>1888</v>
      </c>
      <c r="E1938" s="39">
        <v>142000</v>
      </c>
      <c r="F1938" s="40" t="s">
        <v>1552</v>
      </c>
    </row>
    <row r="1939" spans="2:6" hidden="1">
      <c r="B1939" s="8">
        <v>1936</v>
      </c>
      <c r="C1939" s="8" t="s">
        <v>1889</v>
      </c>
      <c r="D1939" s="8" t="s">
        <v>769</v>
      </c>
      <c r="E1939" s="39">
        <v>166000</v>
      </c>
      <c r="F1939" s="40" t="s">
        <v>1552</v>
      </c>
    </row>
    <row r="1940" spans="2:6" hidden="1">
      <c r="B1940" s="8">
        <v>1937</v>
      </c>
      <c r="C1940" s="8" t="s">
        <v>1083</v>
      </c>
      <c r="D1940" s="8" t="s">
        <v>1890</v>
      </c>
      <c r="E1940" s="39">
        <v>84000</v>
      </c>
      <c r="F1940" s="40" t="s">
        <v>1552</v>
      </c>
    </row>
    <row r="1941" spans="2:6" hidden="1">
      <c r="B1941" s="8">
        <v>1938</v>
      </c>
      <c r="C1941" s="8" t="s">
        <v>1891</v>
      </c>
      <c r="D1941" s="8" t="s">
        <v>1892</v>
      </c>
      <c r="E1941" s="39">
        <v>88000</v>
      </c>
      <c r="F1941" s="40" t="s">
        <v>1552</v>
      </c>
    </row>
    <row r="1942" spans="2:6" hidden="1">
      <c r="B1942" s="8">
        <v>1939</v>
      </c>
      <c r="C1942" s="8" t="s">
        <v>1893</v>
      </c>
      <c r="D1942" s="8" t="s">
        <v>1894</v>
      </c>
      <c r="E1942" s="39">
        <v>142000</v>
      </c>
      <c r="F1942" s="40" t="s">
        <v>1552</v>
      </c>
    </row>
    <row r="1943" spans="2:6" hidden="1">
      <c r="B1943" s="8">
        <v>1940</v>
      </c>
      <c r="C1943" s="8" t="s">
        <v>1092</v>
      </c>
      <c r="D1943" s="8" t="s">
        <v>211</v>
      </c>
      <c r="E1943" s="39">
        <v>84000</v>
      </c>
      <c r="F1943" s="40" t="s">
        <v>1552</v>
      </c>
    </row>
    <row r="1944" spans="2:6" hidden="1">
      <c r="B1944" s="8">
        <v>1941</v>
      </c>
      <c r="C1944" s="8" t="s">
        <v>618</v>
      </c>
      <c r="D1944" s="8" t="s">
        <v>1895</v>
      </c>
      <c r="E1944" s="39">
        <v>350000</v>
      </c>
      <c r="F1944" s="40" t="s">
        <v>1552</v>
      </c>
    </row>
    <row r="1945" spans="2:6" hidden="1">
      <c r="B1945" s="8">
        <v>1942</v>
      </c>
      <c r="C1945" s="8" t="s">
        <v>197</v>
      </c>
      <c r="D1945" s="8" t="s">
        <v>1896</v>
      </c>
      <c r="E1945" s="39">
        <v>70000</v>
      </c>
      <c r="F1945" s="40" t="s">
        <v>1552</v>
      </c>
    </row>
    <row r="1946" spans="2:6" hidden="1">
      <c r="B1946" s="8">
        <v>1943</v>
      </c>
      <c r="C1946" s="8" t="s">
        <v>210</v>
      </c>
      <c r="D1946" s="8" t="s">
        <v>1897</v>
      </c>
      <c r="E1946" s="39">
        <v>377000</v>
      </c>
      <c r="F1946" s="40" t="s">
        <v>1552</v>
      </c>
    </row>
    <row r="1947" spans="2:6" hidden="1">
      <c r="B1947" s="8">
        <v>1944</v>
      </c>
      <c r="C1947" s="8" t="s">
        <v>1107</v>
      </c>
      <c r="D1947" s="8" t="s">
        <v>211</v>
      </c>
      <c r="E1947" s="39">
        <v>195000</v>
      </c>
      <c r="F1947" s="40" t="s">
        <v>1552</v>
      </c>
    </row>
    <row r="1948" spans="2:6" hidden="1">
      <c r="B1948" s="8">
        <v>1945</v>
      </c>
      <c r="C1948" s="8" t="s">
        <v>1898</v>
      </c>
      <c r="D1948" s="8" t="s">
        <v>1899</v>
      </c>
      <c r="E1948" s="39">
        <v>91000</v>
      </c>
      <c r="F1948" s="40" t="s">
        <v>1552</v>
      </c>
    </row>
    <row r="1949" spans="2:6" hidden="1">
      <c r="B1949" s="8">
        <v>1946</v>
      </c>
      <c r="C1949" s="8" t="s">
        <v>1898</v>
      </c>
      <c r="D1949" s="8" t="s">
        <v>1900</v>
      </c>
      <c r="E1949" s="39">
        <v>53000</v>
      </c>
      <c r="F1949" s="40" t="s">
        <v>1552</v>
      </c>
    </row>
    <row r="1950" spans="2:6" hidden="1">
      <c r="B1950" s="8">
        <v>1947</v>
      </c>
      <c r="C1950" s="8" t="s">
        <v>304</v>
      </c>
      <c r="D1950" s="8" t="s">
        <v>1901</v>
      </c>
      <c r="E1950" s="39">
        <v>191000</v>
      </c>
      <c r="F1950" s="40" t="s">
        <v>1552</v>
      </c>
    </row>
    <row r="1951" spans="2:6" hidden="1">
      <c r="B1951" s="8">
        <v>1948</v>
      </c>
      <c r="C1951" s="8" t="s">
        <v>331</v>
      </c>
      <c r="D1951" s="8" t="s">
        <v>1902</v>
      </c>
      <c r="E1951" s="39">
        <v>53000</v>
      </c>
      <c r="F1951" s="40" t="s">
        <v>1552</v>
      </c>
    </row>
    <row r="1952" spans="2:6" hidden="1">
      <c r="B1952" s="8">
        <v>1949</v>
      </c>
      <c r="C1952" s="8" t="s">
        <v>353</v>
      </c>
      <c r="D1952" s="8" t="s">
        <v>1903</v>
      </c>
      <c r="E1952" s="39">
        <v>69000</v>
      </c>
      <c r="F1952" s="40" t="s">
        <v>1552</v>
      </c>
    </row>
    <row r="1953" spans="2:6" hidden="1">
      <c r="B1953" s="8">
        <v>1950</v>
      </c>
      <c r="C1953" s="8" t="s">
        <v>1157</v>
      </c>
      <c r="D1953" s="8" t="s">
        <v>1904</v>
      </c>
      <c r="E1953" s="39">
        <v>743000</v>
      </c>
      <c r="F1953" s="40" t="s">
        <v>1552</v>
      </c>
    </row>
    <row r="1954" spans="2:6" hidden="1">
      <c r="B1954" s="8">
        <v>1951</v>
      </c>
      <c r="C1954" s="8" t="s">
        <v>1602</v>
      </c>
      <c r="D1954" s="8" t="s">
        <v>734</v>
      </c>
      <c r="E1954" s="39">
        <v>175000</v>
      </c>
      <c r="F1954" s="40" t="s">
        <v>1552</v>
      </c>
    </row>
    <row r="1955" spans="2:6" hidden="1">
      <c r="B1955" s="8">
        <v>1952</v>
      </c>
      <c r="C1955" s="8" t="s">
        <v>428</v>
      </c>
      <c r="D1955" s="8" t="s">
        <v>734</v>
      </c>
      <c r="E1955" s="39">
        <v>106000</v>
      </c>
      <c r="F1955" s="40" t="s">
        <v>1552</v>
      </c>
    </row>
    <row r="1956" spans="2:6" hidden="1">
      <c r="B1956" s="8">
        <v>1953</v>
      </c>
      <c r="C1956" s="8" t="s">
        <v>446</v>
      </c>
      <c r="D1956" s="8" t="s">
        <v>1905</v>
      </c>
      <c r="E1956" s="39">
        <v>53000</v>
      </c>
      <c r="F1956" s="40" t="s">
        <v>1552</v>
      </c>
    </row>
    <row r="1957" spans="2:6" hidden="1">
      <c r="B1957" s="8">
        <v>1954</v>
      </c>
      <c r="C1957" s="8" t="s">
        <v>448</v>
      </c>
      <c r="D1957" s="8" t="s">
        <v>1906</v>
      </c>
      <c r="E1957" s="39">
        <v>53000</v>
      </c>
      <c r="F1957" s="40" t="s">
        <v>1552</v>
      </c>
    </row>
    <row r="1958" spans="2:6" hidden="1">
      <c r="B1958" s="8">
        <v>1955</v>
      </c>
      <c r="C1958" s="8" t="s">
        <v>461</v>
      </c>
      <c r="D1958" s="8" t="s">
        <v>1907</v>
      </c>
      <c r="E1958" s="39">
        <v>82000</v>
      </c>
      <c r="F1958" s="40" t="s">
        <v>1552</v>
      </c>
    </row>
    <row r="1959" spans="2:6" hidden="1">
      <c r="B1959" s="8">
        <v>1956</v>
      </c>
      <c r="C1959" s="8" t="s">
        <v>1640</v>
      </c>
      <c r="D1959" s="8" t="s">
        <v>1908</v>
      </c>
      <c r="E1959" s="39">
        <v>77000</v>
      </c>
      <c r="F1959" s="40" t="s">
        <v>1552</v>
      </c>
    </row>
    <row r="1960" spans="2:6" hidden="1">
      <c r="B1960" s="8">
        <v>1957</v>
      </c>
      <c r="C1960" s="8" t="s">
        <v>477</v>
      </c>
      <c r="D1960" s="8" t="s">
        <v>1909</v>
      </c>
      <c r="E1960" s="39">
        <v>413000</v>
      </c>
      <c r="F1960" s="40" t="s">
        <v>1552</v>
      </c>
    </row>
    <row r="1961" spans="2:6" hidden="1">
      <c r="B1961" s="8">
        <v>1958</v>
      </c>
      <c r="C1961" s="8" t="s">
        <v>491</v>
      </c>
      <c r="D1961" s="8" t="s">
        <v>211</v>
      </c>
      <c r="E1961" s="39">
        <v>381000</v>
      </c>
      <c r="F1961" s="40" t="s">
        <v>1552</v>
      </c>
    </row>
    <row r="1962" spans="2:6" hidden="1">
      <c r="B1962" s="8">
        <v>1959</v>
      </c>
      <c r="C1962" s="8" t="s">
        <v>505</v>
      </c>
      <c r="D1962" s="8" t="s">
        <v>1910</v>
      </c>
      <c r="E1962" s="39">
        <v>121000</v>
      </c>
      <c r="F1962" s="40" t="s">
        <v>1552</v>
      </c>
    </row>
    <row r="1963" spans="2:6" hidden="1">
      <c r="B1963" s="8">
        <v>1960</v>
      </c>
      <c r="C1963" s="8" t="s">
        <v>566</v>
      </c>
      <c r="D1963" s="8" t="s">
        <v>1911</v>
      </c>
      <c r="E1963" s="39">
        <v>146000</v>
      </c>
      <c r="F1963" s="40" t="s">
        <v>1552</v>
      </c>
    </row>
    <row r="1964" spans="2:6" hidden="1">
      <c r="B1964" s="8">
        <v>1961</v>
      </c>
      <c r="C1964" s="8" t="s">
        <v>1262</v>
      </c>
      <c r="D1964" s="8" t="s">
        <v>1912</v>
      </c>
      <c r="E1964" s="39">
        <v>98000</v>
      </c>
      <c r="F1964" s="40" t="s">
        <v>1552</v>
      </c>
    </row>
    <row r="1965" spans="2:6" hidden="1">
      <c r="B1965" s="8">
        <v>1962</v>
      </c>
      <c r="C1965" s="8" t="s">
        <v>622</v>
      </c>
      <c r="D1965" s="8" t="s">
        <v>791</v>
      </c>
      <c r="E1965" s="39">
        <v>53000</v>
      </c>
      <c r="F1965" s="40" t="s">
        <v>1552</v>
      </c>
    </row>
    <row r="1966" spans="2:6" hidden="1">
      <c r="B1966" s="8">
        <v>1963</v>
      </c>
      <c r="C1966" s="8" t="s">
        <v>622</v>
      </c>
      <c r="D1966" s="8" t="s">
        <v>734</v>
      </c>
      <c r="E1966" s="39">
        <v>251000</v>
      </c>
      <c r="F1966" s="40" t="s">
        <v>1552</v>
      </c>
    </row>
    <row r="1967" spans="2:6" hidden="1">
      <c r="B1967" s="8">
        <v>1964</v>
      </c>
      <c r="C1967" s="8" t="s">
        <v>635</v>
      </c>
      <c r="D1967" s="8" t="s">
        <v>1913</v>
      </c>
      <c r="E1967" s="39">
        <v>68000</v>
      </c>
      <c r="F1967" s="40" t="s">
        <v>1552</v>
      </c>
    </row>
    <row r="1968" spans="2:6" hidden="1">
      <c r="B1968" s="8">
        <v>1965</v>
      </c>
      <c r="C1968" s="8" t="s">
        <v>650</v>
      </c>
      <c r="D1968" s="8" t="s">
        <v>1914</v>
      </c>
      <c r="E1968" s="39">
        <v>209000</v>
      </c>
      <c r="F1968" s="40" t="s">
        <v>1552</v>
      </c>
    </row>
    <row r="1969" spans="2:6" hidden="1">
      <c r="B1969" s="8">
        <v>1966</v>
      </c>
      <c r="C1969" s="8" t="s">
        <v>650</v>
      </c>
      <c r="D1969" s="8" t="s">
        <v>1915</v>
      </c>
      <c r="E1969" s="39">
        <v>151000</v>
      </c>
      <c r="F1969" s="40" t="s">
        <v>1552</v>
      </c>
    </row>
    <row r="1970" spans="2:6" hidden="1">
      <c r="B1970" s="8">
        <v>1967</v>
      </c>
      <c r="C1970" s="8" t="s">
        <v>1355</v>
      </c>
      <c r="D1970" s="8" t="s">
        <v>1916</v>
      </c>
      <c r="E1970" s="39">
        <v>76000</v>
      </c>
      <c r="F1970" s="40" t="s">
        <v>1552</v>
      </c>
    </row>
    <row r="1971" spans="2:6" hidden="1">
      <c r="B1971" s="8">
        <v>1968</v>
      </c>
      <c r="C1971" s="8" t="s">
        <v>738</v>
      </c>
      <c r="D1971" s="8" t="s">
        <v>211</v>
      </c>
      <c r="E1971" s="39">
        <v>284000</v>
      </c>
      <c r="F1971" s="40" t="s">
        <v>1552</v>
      </c>
    </row>
    <row r="1972" spans="2:6" hidden="1">
      <c r="B1972" s="8">
        <v>1969</v>
      </c>
      <c r="C1972" s="8" t="s">
        <v>738</v>
      </c>
      <c r="D1972" s="8" t="s">
        <v>1917</v>
      </c>
      <c r="E1972" s="39">
        <v>525000</v>
      </c>
      <c r="F1972" s="40" t="s">
        <v>1552</v>
      </c>
    </row>
    <row r="1973" spans="2:6" hidden="1">
      <c r="B1973" s="8">
        <v>1970</v>
      </c>
      <c r="C1973" s="8" t="s">
        <v>738</v>
      </c>
      <c r="D1973" s="8" t="s">
        <v>1918</v>
      </c>
      <c r="E1973" s="39">
        <v>60000</v>
      </c>
      <c r="F1973" s="40" t="s">
        <v>1552</v>
      </c>
    </row>
    <row r="1974" spans="2:6" hidden="1">
      <c r="B1974" s="8">
        <v>1971</v>
      </c>
      <c r="C1974" s="8" t="s">
        <v>738</v>
      </c>
      <c r="D1974" s="8" t="s">
        <v>791</v>
      </c>
      <c r="E1974" s="39">
        <v>91000</v>
      </c>
      <c r="F1974" s="40" t="s">
        <v>1552</v>
      </c>
    </row>
    <row r="1975" spans="2:6" hidden="1">
      <c r="B1975" s="8">
        <v>1972</v>
      </c>
      <c r="C1975" s="8" t="s">
        <v>1377</v>
      </c>
      <c r="D1975" s="8" t="s">
        <v>1919</v>
      </c>
      <c r="E1975" s="39">
        <v>85000</v>
      </c>
      <c r="F1975" s="40" t="s">
        <v>1552</v>
      </c>
    </row>
    <row r="1976" spans="2:6" hidden="1">
      <c r="B1976" s="8">
        <v>1973</v>
      </c>
      <c r="C1976" s="8" t="s">
        <v>776</v>
      </c>
      <c r="D1976" s="8" t="s">
        <v>1920</v>
      </c>
      <c r="E1976" s="39">
        <v>227000</v>
      </c>
      <c r="F1976" s="40" t="s">
        <v>1552</v>
      </c>
    </row>
    <row r="1977" spans="2:6" hidden="1">
      <c r="B1977" s="8">
        <v>1974</v>
      </c>
      <c r="C1977" s="8" t="s">
        <v>777</v>
      </c>
      <c r="D1977" s="8" t="s">
        <v>1921</v>
      </c>
      <c r="E1977" s="39">
        <v>53000</v>
      </c>
      <c r="F1977" s="40" t="s">
        <v>1552</v>
      </c>
    </row>
    <row r="1978" spans="2:6" hidden="1">
      <c r="B1978" s="8">
        <v>1975</v>
      </c>
      <c r="C1978" s="8" t="s">
        <v>1922</v>
      </c>
      <c r="D1978" s="8" t="s">
        <v>1923</v>
      </c>
      <c r="E1978" s="39">
        <v>458000</v>
      </c>
      <c r="F1978" s="40" t="s">
        <v>1552</v>
      </c>
    </row>
    <row r="1979" spans="2:6" hidden="1">
      <c r="B1979" s="8">
        <v>1976</v>
      </c>
      <c r="C1979" s="8" t="s">
        <v>1414</v>
      </c>
      <c r="D1979" s="8" t="s">
        <v>1924</v>
      </c>
      <c r="E1979" s="39">
        <v>166000</v>
      </c>
      <c r="F1979" s="40" t="s">
        <v>1552</v>
      </c>
    </row>
    <row r="1980" spans="2:6" hidden="1">
      <c r="B1980" s="8">
        <v>1977</v>
      </c>
      <c r="C1980" s="8" t="s">
        <v>854</v>
      </c>
      <c r="D1980" s="8" t="s">
        <v>1925</v>
      </c>
      <c r="E1980" s="39">
        <v>201000</v>
      </c>
      <c r="F1980" s="40" t="s">
        <v>1552</v>
      </c>
    </row>
    <row r="1981" spans="2:6" hidden="1">
      <c r="B1981" s="8">
        <v>1978</v>
      </c>
      <c r="C1981" s="8" t="s">
        <v>1444</v>
      </c>
      <c r="D1981" s="8" t="s">
        <v>1926</v>
      </c>
      <c r="E1981" s="39">
        <v>57000</v>
      </c>
      <c r="F1981" s="40" t="s">
        <v>1552</v>
      </c>
    </row>
    <row r="1982" spans="2:6" hidden="1">
      <c r="B1982" s="8">
        <v>1979</v>
      </c>
      <c r="C1982" s="8" t="s">
        <v>902</v>
      </c>
      <c r="D1982" s="8" t="s">
        <v>1927</v>
      </c>
      <c r="E1982" s="39">
        <v>166000</v>
      </c>
      <c r="F1982" s="40" t="s">
        <v>1552</v>
      </c>
    </row>
    <row r="1983" spans="2:6" hidden="1">
      <c r="B1983" s="8">
        <v>1980</v>
      </c>
      <c r="C1983" s="8" t="s">
        <v>913</v>
      </c>
      <c r="D1983" s="8" t="s">
        <v>1423</v>
      </c>
      <c r="E1983" s="39">
        <v>77000</v>
      </c>
      <c r="F1983" s="40" t="s">
        <v>1552</v>
      </c>
    </row>
    <row r="1984" spans="2:6" hidden="1">
      <c r="B1984" s="8">
        <v>1981</v>
      </c>
      <c r="C1984" s="8" t="s">
        <v>928</v>
      </c>
      <c r="D1984" s="8" t="s">
        <v>1928</v>
      </c>
      <c r="E1984" s="39">
        <v>84000</v>
      </c>
      <c r="F1984" s="40" t="s">
        <v>1552</v>
      </c>
    </row>
    <row r="1985" spans="2:6" hidden="1">
      <c r="B1985" s="8">
        <v>1982</v>
      </c>
      <c r="C1985" s="8" t="s">
        <v>943</v>
      </c>
      <c r="D1985" s="8" t="s">
        <v>1929</v>
      </c>
      <c r="E1985" s="39">
        <v>83000</v>
      </c>
      <c r="F1985" s="40" t="s">
        <v>1552</v>
      </c>
    </row>
    <row r="1986" spans="2:6" hidden="1">
      <c r="B1986" s="8">
        <v>1983</v>
      </c>
      <c r="C1986" s="8" t="s">
        <v>1026</v>
      </c>
      <c r="D1986" s="8" t="s">
        <v>1930</v>
      </c>
      <c r="E1986" s="39">
        <v>337000</v>
      </c>
      <c r="F1986" s="40" t="s">
        <v>1552</v>
      </c>
    </row>
    <row r="1987" spans="2:6" hidden="1">
      <c r="B1987" s="8">
        <v>1984</v>
      </c>
      <c r="C1987" s="8" t="s">
        <v>1542</v>
      </c>
      <c r="D1987" s="8" t="s">
        <v>1923</v>
      </c>
      <c r="E1987" s="39">
        <v>476000</v>
      </c>
      <c r="F1987" s="40" t="s">
        <v>1552</v>
      </c>
    </row>
    <row r="1988" spans="2:6" hidden="1">
      <c r="B1988" s="8">
        <v>1985</v>
      </c>
      <c r="C1988" s="8" t="s">
        <v>619</v>
      </c>
      <c r="D1988" s="8" t="s">
        <v>1931</v>
      </c>
      <c r="E1988" s="39">
        <v>650000</v>
      </c>
      <c r="F1988" s="40" t="s">
        <v>1932</v>
      </c>
    </row>
    <row r="1989" spans="2:6" hidden="1">
      <c r="B1989" s="8">
        <v>1986</v>
      </c>
      <c r="C1989" s="8" t="s">
        <v>194</v>
      </c>
      <c r="D1989" s="8" t="s">
        <v>211</v>
      </c>
      <c r="E1989" s="39">
        <v>329000</v>
      </c>
      <c r="F1989" s="40" t="s">
        <v>1932</v>
      </c>
    </row>
    <row r="1990" spans="2:6" hidden="1">
      <c r="B1990" s="8">
        <v>1987</v>
      </c>
      <c r="C1990" s="8" t="s">
        <v>194</v>
      </c>
      <c r="D1990" s="8" t="s">
        <v>1933</v>
      </c>
      <c r="E1990" s="39">
        <v>5040000</v>
      </c>
      <c r="F1990" s="40" t="s">
        <v>1932</v>
      </c>
    </row>
    <row r="1991" spans="2:6" hidden="1">
      <c r="B1991" s="8">
        <v>1988</v>
      </c>
      <c r="C1991" s="8" t="s">
        <v>194</v>
      </c>
      <c r="D1991" s="8" t="s">
        <v>1934</v>
      </c>
      <c r="E1991" s="39">
        <v>633000</v>
      </c>
      <c r="F1991" s="40" t="s">
        <v>1932</v>
      </c>
    </row>
    <row r="1992" spans="2:6" hidden="1">
      <c r="B1992" s="8">
        <v>1989</v>
      </c>
      <c r="C1992" s="8" t="s">
        <v>212</v>
      </c>
      <c r="D1992" s="8" t="s">
        <v>1935</v>
      </c>
      <c r="E1992" s="39">
        <v>16000</v>
      </c>
      <c r="F1992" s="40" t="s">
        <v>1932</v>
      </c>
    </row>
    <row r="1993" spans="2:6" hidden="1">
      <c r="B1993" s="8">
        <v>1990</v>
      </c>
      <c r="C1993" s="8" t="s">
        <v>212</v>
      </c>
      <c r="D1993" s="8" t="s">
        <v>317</v>
      </c>
      <c r="E1993" s="39">
        <v>138000</v>
      </c>
      <c r="F1993" s="40" t="s">
        <v>1932</v>
      </c>
    </row>
    <row r="1994" spans="2:6" hidden="1">
      <c r="B1994" s="8">
        <v>1991</v>
      </c>
      <c r="C1994" s="8" t="s">
        <v>214</v>
      </c>
      <c r="D1994" s="8" t="s">
        <v>217</v>
      </c>
      <c r="E1994" s="39">
        <v>1943000</v>
      </c>
      <c r="F1994" s="40" t="s">
        <v>1932</v>
      </c>
    </row>
    <row r="1995" spans="2:6" hidden="1">
      <c r="B1995" s="8">
        <v>1992</v>
      </c>
      <c r="C1995" s="8" t="s">
        <v>216</v>
      </c>
      <c r="D1995" s="8" t="s">
        <v>1687</v>
      </c>
      <c r="E1995" s="39">
        <v>207000</v>
      </c>
      <c r="F1995" s="40" t="s">
        <v>1932</v>
      </c>
    </row>
    <row r="1996" spans="2:6" hidden="1">
      <c r="B1996" s="8">
        <v>1993</v>
      </c>
      <c r="C1996" s="8" t="s">
        <v>216</v>
      </c>
      <c r="D1996" s="8" t="s">
        <v>217</v>
      </c>
      <c r="E1996" s="39">
        <v>1005000</v>
      </c>
      <c r="F1996" s="40" t="s">
        <v>1932</v>
      </c>
    </row>
    <row r="1997" spans="2:6" hidden="1">
      <c r="B1997" s="8">
        <v>1994</v>
      </c>
      <c r="C1997" s="8" t="s">
        <v>218</v>
      </c>
      <c r="D1997" s="8" t="s">
        <v>1936</v>
      </c>
      <c r="E1997" s="39">
        <v>132000</v>
      </c>
      <c r="F1997" s="40" t="s">
        <v>1932</v>
      </c>
    </row>
    <row r="1998" spans="2:6" hidden="1">
      <c r="B1998" s="8">
        <v>1995</v>
      </c>
      <c r="C1998" s="8" t="s">
        <v>222</v>
      </c>
      <c r="D1998" s="8" t="s">
        <v>1937</v>
      </c>
      <c r="E1998" s="39">
        <v>444000</v>
      </c>
      <c r="F1998" s="40" t="s">
        <v>1932</v>
      </c>
    </row>
    <row r="1999" spans="2:6" hidden="1">
      <c r="B1999" s="8">
        <v>1996</v>
      </c>
      <c r="C1999" s="8" t="s">
        <v>222</v>
      </c>
      <c r="D1999" s="8" t="s">
        <v>198</v>
      </c>
      <c r="E1999" s="39">
        <v>1550000</v>
      </c>
      <c r="F1999" s="40" t="s">
        <v>1932</v>
      </c>
    </row>
    <row r="2000" spans="2:6" hidden="1">
      <c r="B2000" s="8">
        <v>1997</v>
      </c>
      <c r="C2000" s="8" t="s">
        <v>226</v>
      </c>
      <c r="D2000" s="8" t="s">
        <v>211</v>
      </c>
      <c r="E2000" s="39">
        <v>232000</v>
      </c>
      <c r="F2000" s="40" t="s">
        <v>1932</v>
      </c>
    </row>
    <row r="2001" spans="2:6" hidden="1">
      <c r="B2001" s="8">
        <v>1998</v>
      </c>
      <c r="C2001" s="8" t="s">
        <v>226</v>
      </c>
      <c r="D2001" s="8" t="s">
        <v>211</v>
      </c>
      <c r="E2001" s="39">
        <v>152000</v>
      </c>
      <c r="F2001" s="40" t="s">
        <v>1932</v>
      </c>
    </row>
    <row r="2002" spans="2:6" hidden="1">
      <c r="B2002" s="8">
        <v>1999</v>
      </c>
      <c r="C2002" s="8" t="s">
        <v>227</v>
      </c>
      <c r="D2002" s="8" t="s">
        <v>1938</v>
      </c>
      <c r="E2002" s="39">
        <v>401000</v>
      </c>
      <c r="F2002" s="40" t="s">
        <v>1932</v>
      </c>
    </row>
    <row r="2003" spans="2:6" hidden="1">
      <c r="B2003" s="8">
        <v>2000</v>
      </c>
      <c r="C2003" s="8" t="s">
        <v>230</v>
      </c>
      <c r="D2003" s="8" t="s">
        <v>339</v>
      </c>
      <c r="E2003" s="39">
        <v>111000</v>
      </c>
      <c r="F2003" s="40" t="s">
        <v>1932</v>
      </c>
    </row>
    <row r="2004" spans="2:6" hidden="1">
      <c r="B2004" s="8">
        <v>2001</v>
      </c>
      <c r="C2004" s="8" t="s">
        <v>230</v>
      </c>
      <c r="D2004" s="8" t="s">
        <v>621</v>
      </c>
      <c r="E2004" s="39">
        <v>235000</v>
      </c>
      <c r="F2004" s="40" t="s">
        <v>1932</v>
      </c>
    </row>
    <row r="2005" spans="2:6" hidden="1">
      <c r="B2005" s="8">
        <v>2002</v>
      </c>
      <c r="C2005" s="8" t="s">
        <v>1111</v>
      </c>
      <c r="D2005" s="8" t="s">
        <v>211</v>
      </c>
      <c r="E2005" s="39">
        <v>303000</v>
      </c>
      <c r="F2005" s="40" t="s">
        <v>1932</v>
      </c>
    </row>
    <row r="2006" spans="2:6" hidden="1">
      <c r="B2006" s="8">
        <v>2003</v>
      </c>
      <c r="C2006" s="8" t="s">
        <v>234</v>
      </c>
      <c r="D2006" s="8" t="s">
        <v>217</v>
      </c>
      <c r="E2006" s="39">
        <v>733000</v>
      </c>
      <c r="F2006" s="40" t="s">
        <v>1932</v>
      </c>
    </row>
    <row r="2007" spans="2:6" hidden="1">
      <c r="B2007" s="8">
        <v>2004</v>
      </c>
      <c r="C2007" s="8" t="s">
        <v>234</v>
      </c>
      <c r="D2007" s="8" t="s">
        <v>236</v>
      </c>
      <c r="E2007" s="39">
        <v>190000</v>
      </c>
      <c r="F2007" s="40" t="s">
        <v>1932</v>
      </c>
    </row>
    <row r="2008" spans="2:6" hidden="1">
      <c r="B2008" s="8">
        <v>2005</v>
      </c>
      <c r="C2008" s="8" t="s">
        <v>237</v>
      </c>
      <c r="D2008" s="8" t="s">
        <v>1939</v>
      </c>
      <c r="E2008" s="39">
        <v>185000</v>
      </c>
      <c r="F2008" s="40" t="s">
        <v>1932</v>
      </c>
    </row>
    <row r="2009" spans="2:6" hidden="1">
      <c r="B2009" s="8">
        <v>2006</v>
      </c>
      <c r="C2009" s="8" t="s">
        <v>237</v>
      </c>
      <c r="D2009" s="8" t="s">
        <v>1940</v>
      </c>
      <c r="E2009" s="39">
        <v>593000</v>
      </c>
      <c r="F2009" s="40" t="s">
        <v>1932</v>
      </c>
    </row>
    <row r="2010" spans="2:6" hidden="1">
      <c r="B2010" s="8">
        <v>2007</v>
      </c>
      <c r="C2010" s="8" t="s">
        <v>1941</v>
      </c>
      <c r="D2010" s="8" t="s">
        <v>1942</v>
      </c>
      <c r="E2010" s="39">
        <v>300000</v>
      </c>
      <c r="F2010" s="40" t="s">
        <v>1932</v>
      </c>
    </row>
    <row r="2011" spans="2:6" hidden="1">
      <c r="B2011" s="8">
        <v>2008</v>
      </c>
      <c r="C2011" s="8" t="s">
        <v>1113</v>
      </c>
      <c r="D2011" s="8" t="s">
        <v>1114</v>
      </c>
      <c r="E2011" s="39">
        <v>518000</v>
      </c>
      <c r="F2011" s="40" t="s">
        <v>1932</v>
      </c>
    </row>
    <row r="2012" spans="2:6" hidden="1">
      <c r="B2012" s="8">
        <v>2009</v>
      </c>
      <c r="C2012" s="8" t="s">
        <v>1113</v>
      </c>
      <c r="D2012" s="8" t="s">
        <v>1943</v>
      </c>
      <c r="E2012" s="39">
        <v>74000</v>
      </c>
      <c r="F2012" s="40" t="s">
        <v>1932</v>
      </c>
    </row>
    <row r="2013" spans="2:6" hidden="1">
      <c r="B2013" s="8">
        <v>2010</v>
      </c>
      <c r="C2013" s="8" t="s">
        <v>242</v>
      </c>
      <c r="D2013" s="8" t="s">
        <v>1409</v>
      </c>
      <c r="E2013" s="39">
        <v>93000</v>
      </c>
      <c r="F2013" s="40" t="s">
        <v>1932</v>
      </c>
    </row>
    <row r="2014" spans="2:6" hidden="1">
      <c r="B2014" s="8">
        <v>2011</v>
      </c>
      <c r="C2014" s="8" t="s">
        <v>1566</v>
      </c>
      <c r="D2014" s="8" t="s">
        <v>256</v>
      </c>
      <c r="E2014" s="39">
        <v>132000</v>
      </c>
      <c r="F2014" s="40" t="s">
        <v>1932</v>
      </c>
    </row>
    <row r="2015" spans="2:6" hidden="1">
      <c r="B2015" s="8">
        <v>2012</v>
      </c>
      <c r="C2015" s="8" t="s">
        <v>1115</v>
      </c>
      <c r="D2015" s="8" t="s">
        <v>1942</v>
      </c>
      <c r="E2015" s="39">
        <v>607000</v>
      </c>
      <c r="F2015" s="40" t="s">
        <v>1932</v>
      </c>
    </row>
    <row r="2016" spans="2:6" hidden="1">
      <c r="B2016" s="8">
        <v>2013</v>
      </c>
      <c r="C2016" s="8" t="s">
        <v>1115</v>
      </c>
      <c r="D2016" s="8" t="s">
        <v>1944</v>
      </c>
      <c r="E2016" s="39">
        <v>123000</v>
      </c>
      <c r="F2016" s="40" t="s">
        <v>1932</v>
      </c>
    </row>
    <row r="2017" spans="2:6" hidden="1">
      <c r="B2017" s="8">
        <v>2014</v>
      </c>
      <c r="C2017" s="8" t="s">
        <v>259</v>
      </c>
      <c r="D2017" s="8" t="s">
        <v>282</v>
      </c>
      <c r="E2017" s="39">
        <v>147000</v>
      </c>
      <c r="F2017" s="40" t="s">
        <v>1932</v>
      </c>
    </row>
    <row r="2018" spans="2:6" hidden="1">
      <c r="B2018" s="8">
        <v>2015</v>
      </c>
      <c r="C2018" s="8" t="s">
        <v>1121</v>
      </c>
      <c r="D2018" s="8" t="s">
        <v>1945</v>
      </c>
      <c r="E2018" s="39">
        <v>591000</v>
      </c>
      <c r="F2018" s="40" t="s">
        <v>1932</v>
      </c>
    </row>
    <row r="2019" spans="2:6" hidden="1">
      <c r="B2019" s="8">
        <v>2016</v>
      </c>
      <c r="C2019" s="8" t="s">
        <v>260</v>
      </c>
      <c r="D2019" s="8" t="s">
        <v>1946</v>
      </c>
      <c r="E2019" s="39">
        <v>198000</v>
      </c>
      <c r="F2019" s="40" t="s">
        <v>1932</v>
      </c>
    </row>
    <row r="2020" spans="2:6" hidden="1">
      <c r="B2020" s="8">
        <v>2017</v>
      </c>
      <c r="C2020" s="8" t="s">
        <v>260</v>
      </c>
      <c r="D2020" s="8" t="s">
        <v>317</v>
      </c>
      <c r="E2020" s="39">
        <v>350000</v>
      </c>
      <c r="F2020" s="40" t="s">
        <v>1932</v>
      </c>
    </row>
    <row r="2021" spans="2:6" hidden="1">
      <c r="B2021" s="8">
        <v>2018</v>
      </c>
      <c r="C2021" s="8" t="s">
        <v>263</v>
      </c>
      <c r="D2021" s="8" t="s">
        <v>1232</v>
      </c>
      <c r="E2021" s="39">
        <v>84000</v>
      </c>
      <c r="F2021" s="40" t="s">
        <v>1932</v>
      </c>
    </row>
    <row r="2022" spans="2:6" hidden="1">
      <c r="B2022" s="8">
        <v>2019</v>
      </c>
      <c r="C2022" s="8" t="s">
        <v>1572</v>
      </c>
      <c r="D2022" s="8" t="s">
        <v>1947</v>
      </c>
      <c r="E2022" s="39">
        <v>648000</v>
      </c>
      <c r="F2022" s="40" t="s">
        <v>1932</v>
      </c>
    </row>
    <row r="2023" spans="2:6" hidden="1">
      <c r="B2023" s="8">
        <v>2020</v>
      </c>
      <c r="C2023" s="8" t="s">
        <v>264</v>
      </c>
      <c r="D2023" s="8" t="s">
        <v>1948</v>
      </c>
      <c r="E2023" s="39">
        <v>480000</v>
      </c>
      <c r="F2023" s="40" t="s">
        <v>1932</v>
      </c>
    </row>
    <row r="2024" spans="2:6" hidden="1">
      <c r="B2024" s="8">
        <v>2021</v>
      </c>
      <c r="C2024" s="8" t="s">
        <v>1123</v>
      </c>
      <c r="D2024" s="8" t="s">
        <v>1949</v>
      </c>
      <c r="E2024" s="39">
        <v>84000</v>
      </c>
      <c r="F2024" s="40" t="s">
        <v>1932</v>
      </c>
    </row>
    <row r="2025" spans="2:6" hidden="1">
      <c r="B2025" s="8">
        <v>2022</v>
      </c>
      <c r="C2025" s="8" t="s">
        <v>1123</v>
      </c>
      <c r="D2025" s="8" t="s">
        <v>345</v>
      </c>
      <c r="E2025" s="39">
        <v>1512000</v>
      </c>
      <c r="F2025" s="40" t="s">
        <v>1932</v>
      </c>
    </row>
    <row r="2026" spans="2:6" hidden="1">
      <c r="B2026" s="8">
        <v>2023</v>
      </c>
      <c r="C2026" s="8" t="s">
        <v>1123</v>
      </c>
      <c r="D2026" s="8" t="s">
        <v>211</v>
      </c>
      <c r="E2026" s="39">
        <v>53000</v>
      </c>
      <c r="F2026" s="40" t="s">
        <v>1932</v>
      </c>
    </row>
    <row r="2027" spans="2:6" hidden="1">
      <c r="B2027" s="8">
        <v>2024</v>
      </c>
      <c r="C2027" s="8" t="s">
        <v>268</v>
      </c>
      <c r="D2027" s="8" t="s">
        <v>1605</v>
      </c>
      <c r="E2027" s="39">
        <v>239000</v>
      </c>
      <c r="F2027" s="40" t="s">
        <v>1932</v>
      </c>
    </row>
    <row r="2028" spans="2:6" hidden="1">
      <c r="B2028" s="8">
        <v>2025</v>
      </c>
      <c r="C2028" s="8" t="s">
        <v>269</v>
      </c>
      <c r="D2028" s="8" t="s">
        <v>217</v>
      </c>
      <c r="E2028" s="39">
        <v>879000</v>
      </c>
      <c r="F2028" s="40" t="s">
        <v>1932</v>
      </c>
    </row>
    <row r="2029" spans="2:6" hidden="1">
      <c r="B2029" s="8">
        <v>2026</v>
      </c>
      <c r="C2029" s="8" t="s">
        <v>274</v>
      </c>
      <c r="D2029" s="8" t="s">
        <v>1950</v>
      </c>
      <c r="E2029" s="39">
        <v>399000</v>
      </c>
      <c r="F2029" s="40" t="s">
        <v>1932</v>
      </c>
    </row>
    <row r="2030" spans="2:6" hidden="1">
      <c r="B2030" s="8">
        <v>2027</v>
      </c>
      <c r="C2030" s="8" t="s">
        <v>277</v>
      </c>
      <c r="D2030" s="8" t="s">
        <v>1951</v>
      </c>
      <c r="E2030" s="39">
        <v>157000</v>
      </c>
      <c r="F2030" s="40" t="s">
        <v>1932</v>
      </c>
    </row>
    <row r="2031" spans="2:6" hidden="1">
      <c r="B2031" s="8">
        <v>2028</v>
      </c>
      <c r="C2031" s="8" t="s">
        <v>279</v>
      </c>
      <c r="D2031" s="8" t="s">
        <v>339</v>
      </c>
      <c r="E2031" s="39">
        <v>136000</v>
      </c>
      <c r="F2031" s="40" t="s">
        <v>1932</v>
      </c>
    </row>
    <row r="2032" spans="2:6" hidden="1">
      <c r="B2032" s="8">
        <v>2029</v>
      </c>
      <c r="C2032" s="8" t="s">
        <v>283</v>
      </c>
      <c r="D2032" s="8" t="s">
        <v>1952</v>
      </c>
      <c r="E2032" s="39">
        <v>240000</v>
      </c>
      <c r="F2032" s="40" t="s">
        <v>1932</v>
      </c>
    </row>
    <row r="2033" spans="2:6" hidden="1">
      <c r="B2033" s="8">
        <v>2030</v>
      </c>
      <c r="C2033" s="8" t="s">
        <v>285</v>
      </c>
      <c r="D2033" s="8" t="s">
        <v>1953</v>
      </c>
      <c r="E2033" s="39">
        <v>776000</v>
      </c>
      <c r="F2033" s="40" t="s">
        <v>1932</v>
      </c>
    </row>
    <row r="2034" spans="2:6" hidden="1">
      <c r="B2034" s="8">
        <v>2031</v>
      </c>
      <c r="C2034" s="8" t="s">
        <v>290</v>
      </c>
      <c r="D2034" s="8" t="s">
        <v>1954</v>
      </c>
      <c r="E2034" s="39">
        <v>1100000</v>
      </c>
      <c r="F2034" s="40" t="s">
        <v>1932</v>
      </c>
    </row>
    <row r="2035" spans="2:6" hidden="1">
      <c r="B2035" s="8">
        <v>2032</v>
      </c>
      <c r="C2035" s="8" t="s">
        <v>290</v>
      </c>
      <c r="D2035" s="8" t="s">
        <v>1955</v>
      </c>
      <c r="E2035" s="39">
        <v>135000</v>
      </c>
      <c r="F2035" s="40" t="s">
        <v>1932</v>
      </c>
    </row>
    <row r="2036" spans="2:6" hidden="1">
      <c r="B2036" s="8">
        <v>2033</v>
      </c>
      <c r="C2036" s="8" t="s">
        <v>1956</v>
      </c>
      <c r="D2036" s="8" t="s">
        <v>211</v>
      </c>
      <c r="E2036" s="39">
        <v>53000</v>
      </c>
      <c r="F2036" s="40" t="s">
        <v>1932</v>
      </c>
    </row>
    <row r="2037" spans="2:6" hidden="1">
      <c r="B2037" s="8">
        <v>2034</v>
      </c>
      <c r="C2037" s="8" t="s">
        <v>292</v>
      </c>
      <c r="D2037" s="8" t="s">
        <v>621</v>
      </c>
      <c r="E2037" s="39">
        <v>176000</v>
      </c>
      <c r="F2037" s="40" t="s">
        <v>1932</v>
      </c>
    </row>
    <row r="2038" spans="2:6" hidden="1">
      <c r="B2038" s="8">
        <v>2035</v>
      </c>
      <c r="C2038" s="8" t="s">
        <v>294</v>
      </c>
      <c r="D2038" s="8" t="s">
        <v>1957</v>
      </c>
      <c r="E2038" s="39">
        <v>185000</v>
      </c>
      <c r="F2038" s="40" t="s">
        <v>1932</v>
      </c>
    </row>
    <row r="2039" spans="2:6" hidden="1">
      <c r="B2039" s="8">
        <v>2036</v>
      </c>
      <c r="C2039" s="8" t="s">
        <v>294</v>
      </c>
      <c r="D2039" s="8" t="s">
        <v>1958</v>
      </c>
      <c r="E2039" s="39">
        <v>839000</v>
      </c>
      <c r="F2039" s="40" t="s">
        <v>1932</v>
      </c>
    </row>
    <row r="2040" spans="2:6" hidden="1">
      <c r="B2040" s="8">
        <v>2037</v>
      </c>
      <c r="C2040" s="8" t="s">
        <v>296</v>
      </c>
      <c r="D2040" s="8" t="s">
        <v>1959</v>
      </c>
      <c r="E2040" s="39">
        <v>313000</v>
      </c>
      <c r="F2040" s="40" t="s">
        <v>1932</v>
      </c>
    </row>
    <row r="2041" spans="2:6" hidden="1">
      <c r="B2041" s="8">
        <v>2038</v>
      </c>
      <c r="C2041" s="8" t="s">
        <v>302</v>
      </c>
      <c r="D2041" s="8" t="s">
        <v>339</v>
      </c>
      <c r="E2041" s="39">
        <v>103000</v>
      </c>
      <c r="F2041" s="40" t="s">
        <v>1932</v>
      </c>
    </row>
    <row r="2042" spans="2:6" hidden="1">
      <c r="B2042" s="8">
        <v>2039</v>
      </c>
      <c r="C2042" s="8" t="s">
        <v>304</v>
      </c>
      <c r="D2042" s="8" t="s">
        <v>1960</v>
      </c>
      <c r="E2042" s="39">
        <v>128000</v>
      </c>
      <c r="F2042" s="40" t="s">
        <v>1932</v>
      </c>
    </row>
    <row r="2043" spans="2:6" hidden="1">
      <c r="B2043" s="8">
        <v>2040</v>
      </c>
      <c r="C2043" s="8" t="s">
        <v>308</v>
      </c>
      <c r="D2043" s="8" t="s">
        <v>620</v>
      </c>
      <c r="E2043" s="39">
        <v>77000</v>
      </c>
      <c r="F2043" s="40" t="s">
        <v>1932</v>
      </c>
    </row>
    <row r="2044" spans="2:6" hidden="1">
      <c r="B2044" s="8">
        <v>2041</v>
      </c>
      <c r="C2044" s="8" t="s">
        <v>310</v>
      </c>
      <c r="D2044" s="8" t="s">
        <v>640</v>
      </c>
      <c r="E2044" s="39">
        <v>356000</v>
      </c>
      <c r="F2044" s="40" t="s">
        <v>1932</v>
      </c>
    </row>
    <row r="2045" spans="2:6" hidden="1">
      <c r="B2045" s="8">
        <v>2042</v>
      </c>
      <c r="C2045" s="8" t="s">
        <v>313</v>
      </c>
      <c r="D2045" s="8" t="s">
        <v>1961</v>
      </c>
      <c r="E2045" s="39">
        <v>133000</v>
      </c>
      <c r="F2045" s="40" t="s">
        <v>1932</v>
      </c>
    </row>
    <row r="2046" spans="2:6" hidden="1">
      <c r="B2046" s="8">
        <v>2043</v>
      </c>
      <c r="C2046" s="8" t="s">
        <v>313</v>
      </c>
      <c r="D2046" s="8" t="s">
        <v>1962</v>
      </c>
      <c r="E2046" s="39">
        <v>73000</v>
      </c>
      <c r="F2046" s="40" t="s">
        <v>1932</v>
      </c>
    </row>
    <row r="2047" spans="2:6" hidden="1">
      <c r="B2047" s="8">
        <v>2044</v>
      </c>
      <c r="C2047" s="8" t="s">
        <v>315</v>
      </c>
      <c r="D2047" s="8" t="s">
        <v>211</v>
      </c>
      <c r="E2047" s="39">
        <v>130000</v>
      </c>
      <c r="F2047" s="40" t="s">
        <v>1932</v>
      </c>
    </row>
    <row r="2048" spans="2:6" hidden="1">
      <c r="B2048" s="8">
        <v>2045</v>
      </c>
      <c r="C2048" s="8" t="s">
        <v>315</v>
      </c>
      <c r="D2048" s="8" t="s">
        <v>198</v>
      </c>
      <c r="E2048" s="39">
        <v>1676000</v>
      </c>
      <c r="F2048" s="40" t="s">
        <v>1932</v>
      </c>
    </row>
    <row r="2049" spans="2:6" hidden="1">
      <c r="B2049" s="8">
        <v>2046</v>
      </c>
      <c r="C2049" s="8" t="s">
        <v>1130</v>
      </c>
      <c r="D2049" s="8" t="s">
        <v>1963</v>
      </c>
      <c r="E2049" s="39">
        <v>177000</v>
      </c>
      <c r="F2049" s="40" t="s">
        <v>1932</v>
      </c>
    </row>
    <row r="2050" spans="2:6" hidden="1">
      <c r="B2050" s="8">
        <v>2047</v>
      </c>
      <c r="C2050" s="8" t="s">
        <v>1130</v>
      </c>
      <c r="D2050" s="8" t="s">
        <v>1964</v>
      </c>
      <c r="E2050" s="39">
        <v>414000</v>
      </c>
      <c r="F2050" s="40" t="s">
        <v>1932</v>
      </c>
    </row>
    <row r="2051" spans="2:6" hidden="1">
      <c r="B2051" s="8">
        <v>2048</v>
      </c>
      <c r="C2051" s="8" t="s">
        <v>1583</v>
      </c>
      <c r="D2051" s="8" t="s">
        <v>534</v>
      </c>
      <c r="E2051" s="39">
        <v>53000</v>
      </c>
      <c r="F2051" s="40" t="s">
        <v>1932</v>
      </c>
    </row>
    <row r="2052" spans="2:6" hidden="1">
      <c r="B2052" s="8">
        <v>2049</v>
      </c>
      <c r="C2052" s="8" t="s">
        <v>1583</v>
      </c>
      <c r="D2052" s="8" t="s">
        <v>1965</v>
      </c>
      <c r="E2052" s="39">
        <v>446000</v>
      </c>
      <c r="F2052" s="40" t="s">
        <v>1932</v>
      </c>
    </row>
    <row r="2053" spans="2:6" hidden="1">
      <c r="B2053" s="8">
        <v>2050</v>
      </c>
      <c r="C2053" s="8" t="s">
        <v>1583</v>
      </c>
      <c r="D2053" s="8" t="s">
        <v>1966</v>
      </c>
      <c r="E2053" s="39">
        <v>346000</v>
      </c>
      <c r="F2053" s="40" t="s">
        <v>1932</v>
      </c>
    </row>
    <row r="2054" spans="2:6" hidden="1">
      <c r="B2054" s="8">
        <v>2051</v>
      </c>
      <c r="C2054" s="8" t="s">
        <v>1583</v>
      </c>
      <c r="D2054" s="8" t="s">
        <v>1466</v>
      </c>
      <c r="E2054" s="39">
        <v>160000</v>
      </c>
      <c r="F2054" s="40" t="s">
        <v>1932</v>
      </c>
    </row>
    <row r="2055" spans="2:6" hidden="1">
      <c r="B2055" s="8">
        <v>2052</v>
      </c>
      <c r="C2055" s="8" t="s">
        <v>316</v>
      </c>
      <c r="D2055" s="8" t="s">
        <v>608</v>
      </c>
      <c r="E2055" s="39">
        <v>154000</v>
      </c>
      <c r="F2055" s="40" t="s">
        <v>1932</v>
      </c>
    </row>
    <row r="2056" spans="2:6" hidden="1">
      <c r="B2056" s="8">
        <v>2053</v>
      </c>
      <c r="C2056" s="8" t="s">
        <v>316</v>
      </c>
      <c r="D2056" s="8" t="s">
        <v>317</v>
      </c>
      <c r="E2056" s="39">
        <v>167000</v>
      </c>
      <c r="F2056" s="40" t="s">
        <v>1932</v>
      </c>
    </row>
    <row r="2057" spans="2:6" hidden="1">
      <c r="B2057" s="8">
        <v>2054</v>
      </c>
      <c r="C2057" s="8" t="s">
        <v>316</v>
      </c>
      <c r="D2057" s="8" t="s">
        <v>1967</v>
      </c>
      <c r="E2057" s="39">
        <v>98000</v>
      </c>
      <c r="F2057" s="40" t="s">
        <v>1932</v>
      </c>
    </row>
    <row r="2058" spans="2:6" hidden="1">
      <c r="B2058" s="8">
        <v>2055</v>
      </c>
      <c r="C2058" s="8" t="s">
        <v>318</v>
      </c>
      <c r="D2058" s="8" t="s">
        <v>1968</v>
      </c>
      <c r="E2058" s="39">
        <v>110000</v>
      </c>
      <c r="F2058" s="40" t="s">
        <v>1932</v>
      </c>
    </row>
    <row r="2059" spans="2:6" hidden="1">
      <c r="B2059" s="8">
        <v>2056</v>
      </c>
      <c r="C2059" s="8" t="s">
        <v>318</v>
      </c>
      <c r="D2059" s="8" t="s">
        <v>408</v>
      </c>
      <c r="E2059" s="39">
        <v>363000</v>
      </c>
      <c r="F2059" s="40" t="s">
        <v>1932</v>
      </c>
    </row>
    <row r="2060" spans="2:6" hidden="1">
      <c r="B2060" s="8">
        <v>2057</v>
      </c>
      <c r="C2060" s="8" t="s">
        <v>318</v>
      </c>
      <c r="D2060" s="8" t="s">
        <v>1502</v>
      </c>
      <c r="E2060" s="39">
        <v>3765000</v>
      </c>
      <c r="F2060" s="40" t="s">
        <v>1932</v>
      </c>
    </row>
    <row r="2061" spans="2:6" hidden="1">
      <c r="B2061" s="8">
        <v>2058</v>
      </c>
      <c r="C2061" s="8" t="s">
        <v>322</v>
      </c>
      <c r="D2061" s="8" t="s">
        <v>1969</v>
      </c>
      <c r="E2061" s="39">
        <v>345000</v>
      </c>
      <c r="F2061" s="40" t="s">
        <v>1932</v>
      </c>
    </row>
    <row r="2062" spans="2:6" hidden="1">
      <c r="B2062" s="8">
        <v>2059</v>
      </c>
      <c r="C2062" s="8" t="s">
        <v>324</v>
      </c>
      <c r="D2062" s="8" t="s">
        <v>1970</v>
      </c>
      <c r="E2062" s="39">
        <v>325000</v>
      </c>
      <c r="F2062" s="40" t="s">
        <v>1932</v>
      </c>
    </row>
    <row r="2063" spans="2:6" hidden="1">
      <c r="B2063" s="8">
        <v>2060</v>
      </c>
      <c r="C2063" s="8" t="s">
        <v>1137</v>
      </c>
      <c r="D2063" s="8" t="s">
        <v>1971</v>
      </c>
      <c r="E2063" s="39">
        <v>53000</v>
      </c>
      <c r="F2063" s="40" t="s">
        <v>1932</v>
      </c>
    </row>
    <row r="2064" spans="2:6" hidden="1">
      <c r="B2064" s="8">
        <v>2061</v>
      </c>
      <c r="C2064" s="8" t="s">
        <v>1137</v>
      </c>
      <c r="D2064" s="8" t="s">
        <v>1972</v>
      </c>
      <c r="E2064" s="39">
        <v>101000</v>
      </c>
      <c r="F2064" s="40" t="s">
        <v>1932</v>
      </c>
    </row>
    <row r="2065" spans="2:6" hidden="1">
      <c r="B2065" s="8">
        <v>2062</v>
      </c>
      <c r="C2065" s="8" t="s">
        <v>333</v>
      </c>
      <c r="D2065" s="8" t="s">
        <v>534</v>
      </c>
      <c r="E2065" s="39">
        <v>659000</v>
      </c>
      <c r="F2065" s="40" t="s">
        <v>1932</v>
      </c>
    </row>
    <row r="2066" spans="2:6" hidden="1">
      <c r="B2066" s="8">
        <v>2063</v>
      </c>
      <c r="C2066" s="8" t="s">
        <v>1973</v>
      </c>
      <c r="D2066" s="8" t="s">
        <v>1974</v>
      </c>
      <c r="E2066" s="39">
        <v>163000</v>
      </c>
      <c r="F2066" s="40" t="s">
        <v>1932</v>
      </c>
    </row>
    <row r="2067" spans="2:6" hidden="1">
      <c r="B2067" s="8">
        <v>2064</v>
      </c>
      <c r="C2067" s="8" t="s">
        <v>336</v>
      </c>
      <c r="D2067" s="8" t="s">
        <v>534</v>
      </c>
      <c r="E2067" s="39">
        <v>232000</v>
      </c>
      <c r="F2067" s="40" t="s">
        <v>1932</v>
      </c>
    </row>
    <row r="2068" spans="2:6" hidden="1">
      <c r="B2068" s="8">
        <v>2065</v>
      </c>
      <c r="C2068" s="8" t="s">
        <v>1589</v>
      </c>
      <c r="D2068" s="8" t="s">
        <v>1975</v>
      </c>
      <c r="E2068" s="39">
        <v>126000</v>
      </c>
      <c r="F2068" s="40" t="s">
        <v>1932</v>
      </c>
    </row>
    <row r="2069" spans="2:6" hidden="1">
      <c r="B2069" s="8">
        <v>2066</v>
      </c>
      <c r="C2069" s="8" t="s">
        <v>1976</v>
      </c>
      <c r="D2069" s="8" t="s">
        <v>317</v>
      </c>
      <c r="E2069" s="39">
        <v>211000</v>
      </c>
      <c r="F2069" s="40" t="s">
        <v>1932</v>
      </c>
    </row>
    <row r="2070" spans="2:6" hidden="1">
      <c r="B2070" s="8">
        <v>2067</v>
      </c>
      <c r="C2070" s="8" t="s">
        <v>1977</v>
      </c>
      <c r="D2070" s="8" t="s">
        <v>1978</v>
      </c>
      <c r="E2070" s="39">
        <v>1406000</v>
      </c>
      <c r="F2070" s="40" t="s">
        <v>1932</v>
      </c>
    </row>
    <row r="2071" spans="2:6" hidden="1">
      <c r="B2071" s="8">
        <v>2068</v>
      </c>
      <c r="C2071" s="8" t="s">
        <v>340</v>
      </c>
      <c r="D2071" s="8" t="s">
        <v>217</v>
      </c>
      <c r="E2071" s="39">
        <v>572000</v>
      </c>
      <c r="F2071" s="40" t="s">
        <v>1932</v>
      </c>
    </row>
    <row r="2072" spans="2:6" hidden="1">
      <c r="B2072" s="8">
        <v>2069</v>
      </c>
      <c r="C2072" s="8" t="s">
        <v>1150</v>
      </c>
      <c r="D2072" s="8" t="s">
        <v>699</v>
      </c>
      <c r="E2072" s="39">
        <v>135000</v>
      </c>
      <c r="F2072" s="40" t="s">
        <v>1932</v>
      </c>
    </row>
    <row r="2073" spans="2:6" hidden="1">
      <c r="B2073" s="8">
        <v>2070</v>
      </c>
      <c r="C2073" s="8" t="s">
        <v>344</v>
      </c>
      <c r="D2073" s="8" t="s">
        <v>1979</v>
      </c>
      <c r="E2073" s="39">
        <v>57000</v>
      </c>
      <c r="F2073" s="40" t="s">
        <v>1932</v>
      </c>
    </row>
    <row r="2074" spans="2:6" hidden="1">
      <c r="B2074" s="8">
        <v>2071</v>
      </c>
      <c r="C2074" s="8" t="s">
        <v>349</v>
      </c>
      <c r="D2074" s="8" t="s">
        <v>299</v>
      </c>
      <c r="E2074" s="39">
        <v>4700000</v>
      </c>
      <c r="F2074" s="40" t="s">
        <v>1932</v>
      </c>
    </row>
    <row r="2075" spans="2:6" hidden="1">
      <c r="B2075" s="8">
        <v>2072</v>
      </c>
      <c r="C2075" s="8" t="s">
        <v>1980</v>
      </c>
      <c r="D2075" s="8" t="s">
        <v>1981</v>
      </c>
      <c r="E2075" s="39">
        <v>131000</v>
      </c>
      <c r="F2075" s="40" t="s">
        <v>1932</v>
      </c>
    </row>
    <row r="2076" spans="2:6" hidden="1">
      <c r="B2076" s="8">
        <v>2073</v>
      </c>
      <c r="C2076" s="8" t="s">
        <v>355</v>
      </c>
      <c r="D2076" s="8" t="s">
        <v>1982</v>
      </c>
      <c r="E2076" s="39">
        <v>53000</v>
      </c>
      <c r="F2076" s="40" t="s">
        <v>1932</v>
      </c>
    </row>
    <row r="2077" spans="2:6" hidden="1">
      <c r="B2077" s="8">
        <v>2074</v>
      </c>
      <c r="C2077" s="8" t="s">
        <v>355</v>
      </c>
      <c r="D2077" s="8" t="s">
        <v>1160</v>
      </c>
      <c r="E2077" s="39">
        <v>53000</v>
      </c>
      <c r="F2077" s="40" t="s">
        <v>1932</v>
      </c>
    </row>
    <row r="2078" spans="2:6" hidden="1">
      <c r="B2078" s="8">
        <v>2075</v>
      </c>
      <c r="C2078" s="8" t="s">
        <v>357</v>
      </c>
      <c r="D2078" s="8" t="s">
        <v>217</v>
      </c>
      <c r="E2078" s="39">
        <v>2095000</v>
      </c>
      <c r="F2078" s="40" t="s">
        <v>1932</v>
      </c>
    </row>
    <row r="2079" spans="2:6" hidden="1">
      <c r="B2079" s="8">
        <v>2076</v>
      </c>
      <c r="C2079" s="8" t="s">
        <v>1161</v>
      </c>
      <c r="D2079" s="8" t="s">
        <v>1983</v>
      </c>
      <c r="E2079" s="39">
        <v>75000</v>
      </c>
      <c r="F2079" s="40" t="s">
        <v>1932</v>
      </c>
    </row>
    <row r="2080" spans="2:6" hidden="1">
      <c r="B2080" s="8">
        <v>2077</v>
      </c>
      <c r="C2080" s="8" t="s">
        <v>1161</v>
      </c>
      <c r="D2080" s="8" t="s">
        <v>1120</v>
      </c>
      <c r="E2080" s="39">
        <v>424000</v>
      </c>
      <c r="F2080" s="40" t="s">
        <v>1932</v>
      </c>
    </row>
    <row r="2081" spans="2:6" hidden="1">
      <c r="B2081" s="8">
        <v>2078</v>
      </c>
      <c r="C2081" s="8" t="s">
        <v>365</v>
      </c>
      <c r="D2081" s="8" t="s">
        <v>1984</v>
      </c>
      <c r="E2081" s="39">
        <v>236000</v>
      </c>
      <c r="F2081" s="40" t="s">
        <v>1932</v>
      </c>
    </row>
    <row r="2082" spans="2:6" hidden="1">
      <c r="B2082" s="8">
        <v>2079</v>
      </c>
      <c r="C2082" s="8" t="s">
        <v>1163</v>
      </c>
      <c r="D2082" s="8" t="s">
        <v>1985</v>
      </c>
      <c r="E2082" s="39">
        <v>2085000</v>
      </c>
      <c r="F2082" s="40" t="s">
        <v>1932</v>
      </c>
    </row>
    <row r="2083" spans="2:6" hidden="1">
      <c r="B2083" s="8">
        <v>2080</v>
      </c>
      <c r="C2083" s="8" t="s">
        <v>1163</v>
      </c>
      <c r="D2083" s="8" t="s">
        <v>1986</v>
      </c>
      <c r="E2083" s="39">
        <v>681000</v>
      </c>
      <c r="F2083" s="40" t="s">
        <v>1932</v>
      </c>
    </row>
    <row r="2084" spans="2:6" hidden="1">
      <c r="B2084" s="8">
        <v>2081</v>
      </c>
      <c r="C2084" s="8" t="s">
        <v>1987</v>
      </c>
      <c r="D2084" s="8" t="s">
        <v>198</v>
      </c>
      <c r="E2084" s="39">
        <v>1298000</v>
      </c>
      <c r="F2084" s="40" t="s">
        <v>1932</v>
      </c>
    </row>
    <row r="2085" spans="2:6" hidden="1">
      <c r="B2085" s="8">
        <v>2082</v>
      </c>
      <c r="C2085" s="8" t="s">
        <v>1987</v>
      </c>
      <c r="D2085" s="8" t="s">
        <v>198</v>
      </c>
      <c r="E2085" s="39">
        <v>278000</v>
      </c>
      <c r="F2085" s="40" t="s">
        <v>1932</v>
      </c>
    </row>
    <row r="2086" spans="2:6" hidden="1">
      <c r="B2086" s="8">
        <v>2083</v>
      </c>
      <c r="C2086" s="8" t="s">
        <v>373</v>
      </c>
      <c r="D2086" s="8" t="s">
        <v>1988</v>
      </c>
      <c r="E2086" s="39">
        <v>89000</v>
      </c>
      <c r="F2086" s="40" t="s">
        <v>1932</v>
      </c>
    </row>
    <row r="2087" spans="2:6" hidden="1">
      <c r="B2087" s="8">
        <v>2084</v>
      </c>
      <c r="C2087" s="8" t="s">
        <v>382</v>
      </c>
      <c r="D2087" s="8" t="s">
        <v>198</v>
      </c>
      <c r="E2087" s="39">
        <v>670000</v>
      </c>
      <c r="F2087" s="40" t="s">
        <v>1932</v>
      </c>
    </row>
    <row r="2088" spans="2:6" hidden="1">
      <c r="B2088" s="8">
        <v>2085</v>
      </c>
      <c r="C2088" s="8" t="s">
        <v>385</v>
      </c>
      <c r="D2088" s="8" t="s">
        <v>198</v>
      </c>
      <c r="E2088" s="39">
        <v>921000</v>
      </c>
      <c r="F2088" s="40" t="s">
        <v>1932</v>
      </c>
    </row>
    <row r="2089" spans="2:6" hidden="1">
      <c r="B2089" s="8">
        <v>2086</v>
      </c>
      <c r="C2089" s="8" t="s">
        <v>1173</v>
      </c>
      <c r="D2089" s="8" t="s">
        <v>841</v>
      </c>
      <c r="E2089" s="39">
        <v>76000</v>
      </c>
      <c r="F2089" s="40" t="s">
        <v>1932</v>
      </c>
    </row>
    <row r="2090" spans="2:6" hidden="1">
      <c r="B2090" s="8">
        <v>2087</v>
      </c>
      <c r="C2090" s="8" t="s">
        <v>1173</v>
      </c>
      <c r="D2090" s="8" t="s">
        <v>1989</v>
      </c>
      <c r="E2090" s="39">
        <v>123000</v>
      </c>
      <c r="F2090" s="40" t="s">
        <v>1932</v>
      </c>
    </row>
    <row r="2091" spans="2:6" hidden="1">
      <c r="B2091" s="8">
        <v>2088</v>
      </c>
      <c r="C2091" s="8" t="s">
        <v>1990</v>
      </c>
      <c r="D2091" s="8" t="s">
        <v>1991</v>
      </c>
      <c r="E2091" s="39">
        <v>129000</v>
      </c>
      <c r="F2091" s="40" t="s">
        <v>1932</v>
      </c>
    </row>
    <row r="2092" spans="2:6" hidden="1">
      <c r="B2092" s="8">
        <v>2089</v>
      </c>
      <c r="C2092" s="8" t="s">
        <v>1608</v>
      </c>
      <c r="D2092" s="8" t="s">
        <v>1992</v>
      </c>
      <c r="E2092" s="39">
        <v>339000</v>
      </c>
      <c r="F2092" s="40" t="s">
        <v>1932</v>
      </c>
    </row>
    <row r="2093" spans="2:6" hidden="1">
      <c r="B2093" s="8">
        <v>2090</v>
      </c>
      <c r="C2093" s="8" t="s">
        <v>393</v>
      </c>
      <c r="D2093" s="8" t="s">
        <v>1993</v>
      </c>
      <c r="E2093" s="39">
        <v>829000</v>
      </c>
      <c r="F2093" s="40" t="s">
        <v>1932</v>
      </c>
    </row>
    <row r="2094" spans="2:6" hidden="1">
      <c r="B2094" s="8">
        <v>2091</v>
      </c>
      <c r="C2094" s="8" t="s">
        <v>1176</v>
      </c>
      <c r="D2094" s="8" t="s">
        <v>198</v>
      </c>
      <c r="E2094" s="39">
        <v>838000</v>
      </c>
      <c r="F2094" s="40" t="s">
        <v>1932</v>
      </c>
    </row>
    <row r="2095" spans="2:6" hidden="1">
      <c r="B2095" s="8">
        <v>2092</v>
      </c>
      <c r="C2095" s="8" t="s">
        <v>1176</v>
      </c>
      <c r="D2095" s="8" t="s">
        <v>198</v>
      </c>
      <c r="E2095" s="39">
        <v>318000</v>
      </c>
      <c r="F2095" s="40" t="s">
        <v>1932</v>
      </c>
    </row>
    <row r="2096" spans="2:6" hidden="1">
      <c r="B2096" s="8">
        <v>2093</v>
      </c>
      <c r="C2096" s="8" t="s">
        <v>395</v>
      </c>
      <c r="D2096" s="8" t="s">
        <v>640</v>
      </c>
      <c r="E2096" s="39">
        <v>83000</v>
      </c>
      <c r="F2096" s="40" t="s">
        <v>1932</v>
      </c>
    </row>
    <row r="2097" spans="2:6" hidden="1">
      <c r="B2097" s="8">
        <v>2094</v>
      </c>
      <c r="C2097" s="8" t="s">
        <v>395</v>
      </c>
      <c r="D2097" s="8" t="s">
        <v>1994</v>
      </c>
      <c r="E2097" s="39">
        <v>194000</v>
      </c>
      <c r="F2097" s="40" t="s">
        <v>1932</v>
      </c>
    </row>
    <row r="2098" spans="2:6" hidden="1">
      <c r="B2098" s="8">
        <v>2095</v>
      </c>
      <c r="C2098" s="8" t="s">
        <v>397</v>
      </c>
      <c r="D2098" s="8" t="s">
        <v>211</v>
      </c>
      <c r="E2098" s="39">
        <v>84000</v>
      </c>
      <c r="F2098" s="40" t="s">
        <v>1932</v>
      </c>
    </row>
    <row r="2099" spans="2:6" hidden="1">
      <c r="B2099" s="8">
        <v>2096</v>
      </c>
      <c r="C2099" s="8" t="s">
        <v>1612</v>
      </c>
      <c r="D2099" s="8" t="s">
        <v>1995</v>
      </c>
      <c r="E2099" s="39">
        <v>535000</v>
      </c>
      <c r="F2099" s="40" t="s">
        <v>1932</v>
      </c>
    </row>
    <row r="2100" spans="2:6" hidden="1">
      <c r="B2100" s="8">
        <v>2097</v>
      </c>
      <c r="C2100" s="8" t="s">
        <v>1612</v>
      </c>
      <c r="D2100" s="8" t="s">
        <v>630</v>
      </c>
      <c r="E2100" s="39">
        <v>82000</v>
      </c>
      <c r="F2100" s="40" t="s">
        <v>1932</v>
      </c>
    </row>
    <row r="2101" spans="2:6" hidden="1">
      <c r="B2101" s="8">
        <v>2098</v>
      </c>
      <c r="C2101" s="8" t="s">
        <v>1180</v>
      </c>
      <c r="D2101" s="8" t="s">
        <v>1996</v>
      </c>
      <c r="E2101" s="39">
        <v>99000</v>
      </c>
      <c r="F2101" s="40" t="s">
        <v>1932</v>
      </c>
    </row>
    <row r="2102" spans="2:6" hidden="1">
      <c r="B2102" s="8">
        <v>2099</v>
      </c>
      <c r="C2102" s="8" t="s">
        <v>1180</v>
      </c>
      <c r="D2102" s="8" t="s">
        <v>1997</v>
      </c>
      <c r="E2102" s="39">
        <v>462000</v>
      </c>
      <c r="F2102" s="40" t="s">
        <v>1932</v>
      </c>
    </row>
    <row r="2103" spans="2:6" hidden="1">
      <c r="B2103" s="8">
        <v>2100</v>
      </c>
      <c r="C2103" s="8" t="s">
        <v>1998</v>
      </c>
      <c r="D2103" s="8" t="s">
        <v>1999</v>
      </c>
      <c r="E2103" s="39">
        <v>53000</v>
      </c>
      <c r="F2103" s="40" t="s">
        <v>1932</v>
      </c>
    </row>
    <row r="2104" spans="2:6" hidden="1">
      <c r="B2104" s="8">
        <v>2101</v>
      </c>
      <c r="C2104" s="8" t="s">
        <v>414</v>
      </c>
      <c r="D2104" s="8" t="s">
        <v>1575</v>
      </c>
      <c r="E2104" s="39">
        <v>48000</v>
      </c>
      <c r="F2104" s="40" t="s">
        <v>1932</v>
      </c>
    </row>
    <row r="2105" spans="2:6" hidden="1">
      <c r="B2105" s="8">
        <v>2102</v>
      </c>
      <c r="C2105" s="8" t="s">
        <v>422</v>
      </c>
      <c r="D2105" s="8" t="s">
        <v>2000</v>
      </c>
      <c r="E2105" s="39">
        <v>392000</v>
      </c>
      <c r="F2105" s="40" t="s">
        <v>1932</v>
      </c>
    </row>
    <row r="2106" spans="2:6" hidden="1">
      <c r="B2106" s="8">
        <v>2103</v>
      </c>
      <c r="C2106" s="8" t="s">
        <v>2001</v>
      </c>
      <c r="D2106" s="8" t="s">
        <v>217</v>
      </c>
      <c r="E2106" s="39">
        <v>1629000</v>
      </c>
      <c r="F2106" s="40" t="s">
        <v>1932</v>
      </c>
    </row>
    <row r="2107" spans="2:6" hidden="1">
      <c r="B2107" s="8">
        <v>2104</v>
      </c>
      <c r="C2107" s="8" t="s">
        <v>2001</v>
      </c>
      <c r="D2107" s="8" t="s">
        <v>398</v>
      </c>
      <c r="E2107" s="39">
        <v>380000</v>
      </c>
      <c r="F2107" s="40" t="s">
        <v>1932</v>
      </c>
    </row>
    <row r="2108" spans="2:6" hidden="1">
      <c r="B2108" s="8">
        <v>2105</v>
      </c>
      <c r="C2108" s="8" t="s">
        <v>424</v>
      </c>
      <c r="D2108" s="8" t="s">
        <v>2002</v>
      </c>
      <c r="E2108" s="39">
        <v>1207000</v>
      </c>
      <c r="F2108" s="40" t="s">
        <v>1932</v>
      </c>
    </row>
    <row r="2109" spans="2:6" hidden="1">
      <c r="B2109" s="8">
        <v>2106</v>
      </c>
      <c r="C2109" s="8" t="s">
        <v>424</v>
      </c>
      <c r="D2109" s="8" t="s">
        <v>2003</v>
      </c>
      <c r="E2109" s="39">
        <v>77000</v>
      </c>
      <c r="F2109" s="40" t="s">
        <v>1932</v>
      </c>
    </row>
    <row r="2110" spans="2:6" hidden="1">
      <c r="B2110" s="8">
        <v>2107</v>
      </c>
      <c r="C2110" s="8" t="s">
        <v>425</v>
      </c>
      <c r="D2110" s="8" t="s">
        <v>211</v>
      </c>
      <c r="E2110" s="39">
        <v>53000</v>
      </c>
      <c r="F2110" s="40" t="s">
        <v>1932</v>
      </c>
    </row>
    <row r="2111" spans="2:6" hidden="1">
      <c r="B2111" s="8">
        <v>2108</v>
      </c>
      <c r="C2111" s="8" t="s">
        <v>425</v>
      </c>
      <c r="D2111" s="8" t="s">
        <v>640</v>
      </c>
      <c r="E2111" s="39">
        <v>117000</v>
      </c>
      <c r="F2111" s="40" t="s">
        <v>1932</v>
      </c>
    </row>
    <row r="2112" spans="2:6" hidden="1">
      <c r="B2112" s="8">
        <v>2109</v>
      </c>
      <c r="C2112" s="8" t="s">
        <v>425</v>
      </c>
      <c r="D2112" s="8" t="s">
        <v>2004</v>
      </c>
      <c r="E2112" s="39">
        <v>954000</v>
      </c>
      <c r="F2112" s="40" t="s">
        <v>1932</v>
      </c>
    </row>
    <row r="2113" spans="2:6" hidden="1">
      <c r="B2113" s="8">
        <v>2110</v>
      </c>
      <c r="C2113" s="8" t="s">
        <v>2005</v>
      </c>
      <c r="D2113" s="8" t="s">
        <v>2006</v>
      </c>
      <c r="E2113" s="39">
        <v>72000</v>
      </c>
      <c r="F2113" s="40" t="s">
        <v>1932</v>
      </c>
    </row>
    <row r="2114" spans="2:6" hidden="1">
      <c r="B2114" s="8">
        <v>2111</v>
      </c>
      <c r="C2114" s="8" t="s">
        <v>427</v>
      </c>
      <c r="D2114" s="8" t="s">
        <v>2007</v>
      </c>
      <c r="E2114" s="39">
        <v>335000</v>
      </c>
      <c r="F2114" s="40" t="s">
        <v>1932</v>
      </c>
    </row>
    <row r="2115" spans="2:6" hidden="1">
      <c r="B2115" s="8">
        <v>2112</v>
      </c>
      <c r="C2115" s="8" t="s">
        <v>2008</v>
      </c>
      <c r="D2115" s="8" t="s">
        <v>2009</v>
      </c>
      <c r="E2115" s="39">
        <v>808000</v>
      </c>
      <c r="F2115" s="40" t="s">
        <v>1932</v>
      </c>
    </row>
    <row r="2116" spans="2:6" hidden="1">
      <c r="B2116" s="8">
        <v>2113</v>
      </c>
      <c r="C2116" s="8" t="s">
        <v>1197</v>
      </c>
      <c r="D2116" s="8" t="s">
        <v>2010</v>
      </c>
      <c r="E2116" s="39">
        <v>2307000</v>
      </c>
      <c r="F2116" s="40" t="s">
        <v>1932</v>
      </c>
    </row>
    <row r="2117" spans="2:6" hidden="1">
      <c r="B2117" s="8">
        <v>2114</v>
      </c>
      <c r="C2117" s="8" t="s">
        <v>2011</v>
      </c>
      <c r="D2117" s="8" t="s">
        <v>2012</v>
      </c>
      <c r="E2117" s="39">
        <v>1088000</v>
      </c>
      <c r="F2117" s="40" t="s">
        <v>1932</v>
      </c>
    </row>
    <row r="2118" spans="2:6" hidden="1">
      <c r="B2118" s="8">
        <v>2115</v>
      </c>
      <c r="C2118" s="8" t="s">
        <v>2013</v>
      </c>
      <c r="D2118" s="8" t="s">
        <v>774</v>
      </c>
      <c r="E2118" s="39">
        <v>234000</v>
      </c>
      <c r="F2118" s="40" t="s">
        <v>1932</v>
      </c>
    </row>
    <row r="2119" spans="2:6" hidden="1">
      <c r="B2119" s="8">
        <v>2116</v>
      </c>
      <c r="C2119" s="8" t="s">
        <v>2013</v>
      </c>
      <c r="D2119" s="8" t="s">
        <v>377</v>
      </c>
      <c r="E2119" s="39">
        <v>94000</v>
      </c>
      <c r="F2119" s="40" t="s">
        <v>1932</v>
      </c>
    </row>
    <row r="2120" spans="2:6" hidden="1">
      <c r="B2120" s="8">
        <v>2117</v>
      </c>
      <c r="C2120" s="8" t="s">
        <v>1625</v>
      </c>
      <c r="D2120" s="8" t="s">
        <v>814</v>
      </c>
      <c r="E2120" s="39">
        <v>73000</v>
      </c>
      <c r="F2120" s="40" t="s">
        <v>1932</v>
      </c>
    </row>
    <row r="2121" spans="2:6" hidden="1">
      <c r="B2121" s="8">
        <v>2118</v>
      </c>
      <c r="C2121" s="8" t="s">
        <v>1198</v>
      </c>
      <c r="D2121" s="8" t="s">
        <v>2014</v>
      </c>
      <c r="E2121" s="39">
        <v>107000</v>
      </c>
      <c r="F2121" s="40" t="s">
        <v>1932</v>
      </c>
    </row>
    <row r="2122" spans="2:6" hidden="1">
      <c r="B2122" s="8">
        <v>2119</v>
      </c>
      <c r="C2122" s="8" t="s">
        <v>438</v>
      </c>
      <c r="D2122" s="8" t="s">
        <v>2015</v>
      </c>
      <c r="E2122" s="39">
        <v>69000</v>
      </c>
      <c r="F2122" s="40" t="s">
        <v>1932</v>
      </c>
    </row>
    <row r="2123" spans="2:6" hidden="1">
      <c r="B2123" s="8">
        <v>2120</v>
      </c>
      <c r="C2123" s="8" t="s">
        <v>1626</v>
      </c>
      <c r="D2123" s="8" t="s">
        <v>1219</v>
      </c>
      <c r="E2123" s="39">
        <v>259000</v>
      </c>
      <c r="F2123" s="40" t="s">
        <v>1932</v>
      </c>
    </row>
    <row r="2124" spans="2:6" hidden="1">
      <c r="B2124" s="8">
        <v>2121</v>
      </c>
      <c r="C2124" s="8" t="s">
        <v>1202</v>
      </c>
      <c r="D2124" s="8" t="s">
        <v>2016</v>
      </c>
      <c r="E2124" s="39">
        <v>84000</v>
      </c>
      <c r="F2124" s="40" t="s">
        <v>1932</v>
      </c>
    </row>
    <row r="2125" spans="2:6" hidden="1">
      <c r="B2125" s="8">
        <v>2122</v>
      </c>
      <c r="C2125" s="8" t="s">
        <v>1202</v>
      </c>
      <c r="D2125" s="8" t="s">
        <v>198</v>
      </c>
      <c r="E2125" s="39">
        <v>444000</v>
      </c>
      <c r="F2125" s="40" t="s">
        <v>1932</v>
      </c>
    </row>
    <row r="2126" spans="2:6" hidden="1">
      <c r="B2126" s="8">
        <v>2123</v>
      </c>
      <c r="C2126" s="8" t="s">
        <v>446</v>
      </c>
      <c r="D2126" s="8" t="s">
        <v>2017</v>
      </c>
      <c r="E2126" s="39">
        <v>582000</v>
      </c>
      <c r="F2126" s="40" t="s">
        <v>1932</v>
      </c>
    </row>
    <row r="2127" spans="2:6" hidden="1">
      <c r="B2127" s="8">
        <v>2124</v>
      </c>
      <c r="C2127" s="8" t="s">
        <v>455</v>
      </c>
      <c r="D2127" s="8" t="s">
        <v>2018</v>
      </c>
      <c r="E2127" s="39">
        <v>883000</v>
      </c>
      <c r="F2127" s="40" t="s">
        <v>1932</v>
      </c>
    </row>
    <row r="2128" spans="2:6" hidden="1">
      <c r="B2128" s="8">
        <v>2125</v>
      </c>
      <c r="C2128" s="8" t="s">
        <v>455</v>
      </c>
      <c r="D2128" s="8" t="s">
        <v>2019</v>
      </c>
      <c r="E2128" s="39">
        <v>75000</v>
      </c>
      <c r="F2128" s="40" t="s">
        <v>1932</v>
      </c>
    </row>
    <row r="2129" spans="2:6" hidden="1">
      <c r="B2129" s="8">
        <v>2126</v>
      </c>
      <c r="C2129" s="8" t="s">
        <v>457</v>
      </c>
      <c r="D2129" s="8" t="s">
        <v>600</v>
      </c>
      <c r="E2129" s="39">
        <v>252000</v>
      </c>
      <c r="F2129" s="40" t="s">
        <v>1932</v>
      </c>
    </row>
    <row r="2130" spans="2:6" hidden="1">
      <c r="B2130" s="8">
        <v>2127</v>
      </c>
      <c r="C2130" s="8" t="s">
        <v>458</v>
      </c>
      <c r="D2130" s="8" t="s">
        <v>640</v>
      </c>
      <c r="E2130" s="39">
        <v>250000</v>
      </c>
      <c r="F2130" s="40" t="s">
        <v>1932</v>
      </c>
    </row>
    <row r="2131" spans="2:6" hidden="1">
      <c r="B2131" s="8">
        <v>2128</v>
      </c>
      <c r="C2131" s="8" t="s">
        <v>458</v>
      </c>
      <c r="D2131" s="8" t="s">
        <v>1970</v>
      </c>
      <c r="E2131" s="39">
        <v>317000</v>
      </c>
      <c r="F2131" s="40" t="s">
        <v>1932</v>
      </c>
    </row>
    <row r="2132" spans="2:6" hidden="1">
      <c r="B2132" s="8">
        <v>2129</v>
      </c>
      <c r="C2132" s="8" t="s">
        <v>2020</v>
      </c>
      <c r="D2132" s="8" t="s">
        <v>2021</v>
      </c>
      <c r="E2132" s="39">
        <v>214000</v>
      </c>
      <c r="F2132" s="40" t="s">
        <v>1932</v>
      </c>
    </row>
    <row r="2133" spans="2:6" hidden="1">
      <c r="B2133" s="8">
        <v>2130</v>
      </c>
      <c r="C2133" s="8" t="s">
        <v>459</v>
      </c>
      <c r="D2133" s="8" t="s">
        <v>2022</v>
      </c>
      <c r="E2133" s="39">
        <v>84000</v>
      </c>
      <c r="F2133" s="40" t="s">
        <v>1932</v>
      </c>
    </row>
    <row r="2134" spans="2:6" hidden="1">
      <c r="B2134" s="8">
        <v>2131</v>
      </c>
      <c r="C2134" s="8" t="s">
        <v>2023</v>
      </c>
      <c r="D2134" s="8" t="s">
        <v>2024</v>
      </c>
      <c r="E2134" s="39">
        <v>610000</v>
      </c>
      <c r="F2134" s="40" t="s">
        <v>1932</v>
      </c>
    </row>
    <row r="2135" spans="2:6" hidden="1">
      <c r="B2135" s="8">
        <v>2132</v>
      </c>
      <c r="C2135" s="8" t="s">
        <v>1634</v>
      </c>
      <c r="D2135" s="8" t="s">
        <v>608</v>
      </c>
      <c r="E2135" s="39">
        <v>154000</v>
      </c>
      <c r="F2135" s="40" t="s">
        <v>1932</v>
      </c>
    </row>
    <row r="2136" spans="2:6" hidden="1">
      <c r="B2136" s="8">
        <v>2133</v>
      </c>
      <c r="C2136" s="8" t="s">
        <v>465</v>
      </c>
      <c r="D2136" s="8" t="s">
        <v>198</v>
      </c>
      <c r="E2136" s="39">
        <v>921000</v>
      </c>
      <c r="F2136" s="40" t="s">
        <v>1932</v>
      </c>
    </row>
    <row r="2137" spans="2:6" hidden="1">
      <c r="B2137" s="8">
        <v>2134</v>
      </c>
      <c r="C2137" s="8" t="s">
        <v>466</v>
      </c>
      <c r="D2137" s="8" t="s">
        <v>198</v>
      </c>
      <c r="E2137" s="39">
        <v>444000</v>
      </c>
      <c r="F2137" s="40" t="s">
        <v>1932</v>
      </c>
    </row>
    <row r="2138" spans="2:6" hidden="1">
      <c r="B2138" s="8">
        <v>2135</v>
      </c>
      <c r="C2138" s="8" t="s">
        <v>467</v>
      </c>
      <c r="D2138" s="8" t="s">
        <v>251</v>
      </c>
      <c r="E2138" s="39">
        <v>62000</v>
      </c>
      <c r="F2138" s="40" t="s">
        <v>1932</v>
      </c>
    </row>
    <row r="2139" spans="2:6" hidden="1">
      <c r="B2139" s="8">
        <v>2136</v>
      </c>
      <c r="C2139" s="8" t="s">
        <v>471</v>
      </c>
      <c r="D2139" s="8" t="s">
        <v>217</v>
      </c>
      <c r="E2139" s="39">
        <v>444000</v>
      </c>
      <c r="F2139" s="40" t="s">
        <v>1932</v>
      </c>
    </row>
    <row r="2140" spans="2:6" hidden="1">
      <c r="B2140" s="8">
        <v>2137</v>
      </c>
      <c r="C2140" s="8" t="s">
        <v>1211</v>
      </c>
      <c r="D2140" s="8" t="s">
        <v>198</v>
      </c>
      <c r="E2140" s="39">
        <v>476000</v>
      </c>
      <c r="F2140" s="40" t="s">
        <v>1932</v>
      </c>
    </row>
    <row r="2141" spans="2:6" hidden="1">
      <c r="B2141" s="8">
        <v>2138</v>
      </c>
      <c r="C2141" s="8" t="s">
        <v>1211</v>
      </c>
      <c r="D2141" s="8" t="s">
        <v>2025</v>
      </c>
      <c r="E2141" s="39">
        <v>620000</v>
      </c>
      <c r="F2141" s="40" t="s">
        <v>1932</v>
      </c>
    </row>
    <row r="2142" spans="2:6" hidden="1">
      <c r="B2142" s="8">
        <v>2139</v>
      </c>
      <c r="C2142" s="8" t="s">
        <v>1211</v>
      </c>
      <c r="D2142" s="8" t="s">
        <v>648</v>
      </c>
      <c r="E2142" s="39">
        <v>185000</v>
      </c>
      <c r="F2142" s="40" t="s">
        <v>1932</v>
      </c>
    </row>
    <row r="2143" spans="2:6" hidden="1">
      <c r="B2143" s="8">
        <v>2140</v>
      </c>
      <c r="C2143" s="8" t="s">
        <v>1211</v>
      </c>
      <c r="D2143" s="8" t="s">
        <v>2026</v>
      </c>
      <c r="E2143" s="39">
        <v>267000</v>
      </c>
      <c r="F2143" s="40" t="s">
        <v>1932</v>
      </c>
    </row>
    <row r="2144" spans="2:6" hidden="1">
      <c r="B2144" s="8">
        <v>2141</v>
      </c>
      <c r="C2144" s="8" t="s">
        <v>477</v>
      </c>
      <c r="D2144" s="8" t="s">
        <v>1970</v>
      </c>
      <c r="E2144" s="39">
        <v>304000</v>
      </c>
      <c r="F2144" s="40" t="s">
        <v>1932</v>
      </c>
    </row>
    <row r="2145" spans="2:6" hidden="1">
      <c r="B2145" s="8">
        <v>2142</v>
      </c>
      <c r="C2145" s="8" t="s">
        <v>477</v>
      </c>
      <c r="D2145" s="8" t="s">
        <v>2027</v>
      </c>
      <c r="E2145" s="39">
        <v>2049000</v>
      </c>
      <c r="F2145" s="40" t="s">
        <v>1932</v>
      </c>
    </row>
    <row r="2146" spans="2:6" hidden="1">
      <c r="B2146" s="8">
        <v>2143</v>
      </c>
      <c r="C2146" s="8" t="s">
        <v>483</v>
      </c>
      <c r="D2146" s="8" t="s">
        <v>199</v>
      </c>
      <c r="E2146" s="39">
        <v>203000</v>
      </c>
      <c r="F2146" s="40" t="s">
        <v>1932</v>
      </c>
    </row>
    <row r="2147" spans="2:6" hidden="1">
      <c r="B2147" s="8">
        <v>2144</v>
      </c>
      <c r="C2147" s="8" t="s">
        <v>1651</v>
      </c>
      <c r="D2147" s="8" t="s">
        <v>2028</v>
      </c>
      <c r="E2147" s="39">
        <v>13000</v>
      </c>
      <c r="F2147" s="40" t="s">
        <v>1932</v>
      </c>
    </row>
    <row r="2148" spans="2:6" hidden="1">
      <c r="B2148" s="8">
        <v>2145</v>
      </c>
      <c r="C2148" s="8" t="s">
        <v>1651</v>
      </c>
      <c r="D2148" s="8" t="s">
        <v>2029</v>
      </c>
      <c r="E2148" s="39">
        <v>99000</v>
      </c>
      <c r="F2148" s="40" t="s">
        <v>1932</v>
      </c>
    </row>
    <row r="2149" spans="2:6" hidden="1">
      <c r="B2149" s="8">
        <v>2146</v>
      </c>
      <c r="C2149" s="8" t="s">
        <v>2030</v>
      </c>
      <c r="D2149" s="8" t="s">
        <v>699</v>
      </c>
      <c r="E2149" s="39">
        <v>176000</v>
      </c>
      <c r="F2149" s="40" t="s">
        <v>1932</v>
      </c>
    </row>
    <row r="2150" spans="2:6" hidden="1">
      <c r="B2150" s="8">
        <v>2147</v>
      </c>
      <c r="C2150" s="8" t="s">
        <v>1652</v>
      </c>
      <c r="D2150" s="8" t="s">
        <v>1952</v>
      </c>
      <c r="E2150" s="39">
        <v>82000</v>
      </c>
      <c r="F2150" s="40" t="s">
        <v>1932</v>
      </c>
    </row>
    <row r="2151" spans="2:6" hidden="1">
      <c r="B2151" s="8">
        <v>2148</v>
      </c>
      <c r="C2151" s="8" t="s">
        <v>1216</v>
      </c>
      <c r="D2151" s="8" t="s">
        <v>2031</v>
      </c>
      <c r="E2151" s="39">
        <v>228000</v>
      </c>
      <c r="F2151" s="40" t="s">
        <v>1932</v>
      </c>
    </row>
    <row r="2152" spans="2:6" hidden="1">
      <c r="B2152" s="8">
        <v>2149</v>
      </c>
      <c r="C2152" s="8" t="s">
        <v>1216</v>
      </c>
      <c r="D2152" s="8" t="s">
        <v>198</v>
      </c>
      <c r="E2152" s="39">
        <v>318000</v>
      </c>
      <c r="F2152" s="40" t="s">
        <v>1932</v>
      </c>
    </row>
    <row r="2153" spans="2:6" hidden="1">
      <c r="B2153" s="8">
        <v>2150</v>
      </c>
      <c r="C2153" s="8" t="s">
        <v>1218</v>
      </c>
      <c r="D2153" s="8" t="s">
        <v>219</v>
      </c>
      <c r="E2153" s="39">
        <v>154000</v>
      </c>
      <c r="F2153" s="40" t="s">
        <v>1932</v>
      </c>
    </row>
    <row r="2154" spans="2:6" hidden="1">
      <c r="B2154" s="8">
        <v>2151</v>
      </c>
      <c r="C2154" s="8" t="s">
        <v>1222</v>
      </c>
      <c r="D2154" s="8" t="s">
        <v>2006</v>
      </c>
      <c r="E2154" s="39">
        <v>67000</v>
      </c>
      <c r="F2154" s="40" t="s">
        <v>1932</v>
      </c>
    </row>
    <row r="2155" spans="2:6" hidden="1">
      <c r="B2155" s="8">
        <v>2152</v>
      </c>
      <c r="C2155" s="8" t="s">
        <v>492</v>
      </c>
      <c r="D2155" s="8" t="s">
        <v>211</v>
      </c>
      <c r="E2155" s="39">
        <v>321000</v>
      </c>
      <c r="F2155" s="40" t="s">
        <v>1932</v>
      </c>
    </row>
    <row r="2156" spans="2:6" hidden="1">
      <c r="B2156" s="8">
        <v>2153</v>
      </c>
      <c r="C2156" s="8" t="s">
        <v>2032</v>
      </c>
      <c r="D2156" s="8" t="s">
        <v>317</v>
      </c>
      <c r="E2156" s="39">
        <v>177000</v>
      </c>
      <c r="F2156" s="40" t="s">
        <v>1932</v>
      </c>
    </row>
    <row r="2157" spans="2:6" hidden="1">
      <c r="B2157" s="8">
        <v>2154</v>
      </c>
      <c r="C2157" s="8" t="s">
        <v>2032</v>
      </c>
      <c r="D2157" s="8" t="s">
        <v>2033</v>
      </c>
      <c r="E2157" s="39">
        <v>19000</v>
      </c>
      <c r="F2157" s="40" t="s">
        <v>1932</v>
      </c>
    </row>
    <row r="2158" spans="2:6" hidden="1">
      <c r="B2158" s="8">
        <v>2155</v>
      </c>
      <c r="C2158" s="8" t="s">
        <v>497</v>
      </c>
      <c r="D2158" s="8" t="s">
        <v>211</v>
      </c>
      <c r="E2158" s="39">
        <v>123000</v>
      </c>
      <c r="F2158" s="40" t="s">
        <v>1932</v>
      </c>
    </row>
    <row r="2159" spans="2:6" hidden="1">
      <c r="B2159" s="8">
        <v>2156</v>
      </c>
      <c r="C2159" s="8" t="s">
        <v>497</v>
      </c>
      <c r="D2159" s="8" t="s">
        <v>211</v>
      </c>
      <c r="E2159" s="39">
        <v>123000</v>
      </c>
      <c r="F2159" s="40" t="s">
        <v>1932</v>
      </c>
    </row>
    <row r="2160" spans="2:6" hidden="1">
      <c r="B2160" s="8">
        <v>2157</v>
      </c>
      <c r="C2160" s="8" t="s">
        <v>505</v>
      </c>
      <c r="D2160" s="8" t="s">
        <v>1970</v>
      </c>
      <c r="E2160" s="39">
        <v>317000</v>
      </c>
      <c r="F2160" s="40" t="s">
        <v>1932</v>
      </c>
    </row>
    <row r="2161" spans="2:6" hidden="1">
      <c r="B2161" s="8">
        <v>2158</v>
      </c>
      <c r="C2161" s="8" t="s">
        <v>505</v>
      </c>
      <c r="D2161" s="8" t="s">
        <v>2034</v>
      </c>
      <c r="E2161" s="39">
        <v>444000</v>
      </c>
      <c r="F2161" s="40" t="s">
        <v>1932</v>
      </c>
    </row>
    <row r="2162" spans="2:6" hidden="1">
      <c r="B2162" s="8">
        <v>2159</v>
      </c>
      <c r="C2162" s="8" t="s">
        <v>505</v>
      </c>
      <c r="D2162" s="8" t="s">
        <v>2035</v>
      </c>
      <c r="E2162" s="39">
        <v>151000</v>
      </c>
      <c r="F2162" s="40" t="s">
        <v>1932</v>
      </c>
    </row>
    <row r="2163" spans="2:6" hidden="1">
      <c r="B2163" s="8">
        <v>2160</v>
      </c>
      <c r="C2163" s="8" t="s">
        <v>506</v>
      </c>
      <c r="D2163" s="8" t="s">
        <v>2036</v>
      </c>
      <c r="E2163" s="39">
        <v>327000</v>
      </c>
      <c r="F2163" s="40" t="s">
        <v>1932</v>
      </c>
    </row>
    <row r="2164" spans="2:6" hidden="1">
      <c r="B2164" s="8">
        <v>2161</v>
      </c>
      <c r="C2164" s="8" t="s">
        <v>506</v>
      </c>
      <c r="D2164" s="8" t="s">
        <v>2037</v>
      </c>
      <c r="E2164" s="39">
        <v>7816000</v>
      </c>
      <c r="F2164" s="40" t="s">
        <v>1932</v>
      </c>
    </row>
    <row r="2165" spans="2:6" hidden="1">
      <c r="B2165" s="8">
        <v>2162</v>
      </c>
      <c r="C2165" s="8" t="s">
        <v>506</v>
      </c>
      <c r="D2165" s="8" t="s">
        <v>2038</v>
      </c>
      <c r="E2165" s="39">
        <v>120000</v>
      </c>
      <c r="F2165" s="40" t="s">
        <v>1932</v>
      </c>
    </row>
    <row r="2166" spans="2:6" hidden="1">
      <c r="B2166" s="8">
        <v>2163</v>
      </c>
      <c r="C2166" s="8" t="s">
        <v>1659</v>
      </c>
      <c r="D2166" s="8" t="s">
        <v>217</v>
      </c>
      <c r="E2166" s="39">
        <v>487000</v>
      </c>
      <c r="F2166" s="40" t="s">
        <v>1932</v>
      </c>
    </row>
    <row r="2167" spans="2:6" hidden="1">
      <c r="B2167" s="8">
        <v>2164</v>
      </c>
      <c r="C2167" s="8" t="s">
        <v>514</v>
      </c>
      <c r="D2167" s="8" t="s">
        <v>2039</v>
      </c>
      <c r="E2167" s="39">
        <v>53000</v>
      </c>
      <c r="F2167" s="40" t="s">
        <v>1932</v>
      </c>
    </row>
    <row r="2168" spans="2:6" hidden="1">
      <c r="B2168" s="8">
        <v>2165</v>
      </c>
      <c r="C2168" s="8" t="s">
        <v>1233</v>
      </c>
      <c r="D2168" s="8" t="s">
        <v>256</v>
      </c>
      <c r="E2168" s="39">
        <v>199000</v>
      </c>
      <c r="F2168" s="40" t="s">
        <v>1932</v>
      </c>
    </row>
    <row r="2169" spans="2:6" hidden="1">
      <c r="B2169" s="8">
        <v>2166</v>
      </c>
      <c r="C2169" s="8" t="s">
        <v>1233</v>
      </c>
      <c r="D2169" s="8" t="s">
        <v>198</v>
      </c>
      <c r="E2169" s="39">
        <v>455000</v>
      </c>
      <c r="F2169" s="40" t="s">
        <v>1932</v>
      </c>
    </row>
    <row r="2170" spans="2:6" hidden="1">
      <c r="B2170" s="8">
        <v>2167</v>
      </c>
      <c r="C2170" s="8" t="s">
        <v>515</v>
      </c>
      <c r="D2170" s="8" t="s">
        <v>2040</v>
      </c>
      <c r="E2170" s="39">
        <v>2126000</v>
      </c>
      <c r="F2170" s="40" t="s">
        <v>1932</v>
      </c>
    </row>
    <row r="2171" spans="2:6" hidden="1">
      <c r="B2171" s="8">
        <v>2168</v>
      </c>
      <c r="C2171" s="8" t="s">
        <v>515</v>
      </c>
      <c r="D2171" s="8" t="s">
        <v>2041</v>
      </c>
      <c r="E2171" s="39">
        <v>246000</v>
      </c>
      <c r="F2171" s="40" t="s">
        <v>1932</v>
      </c>
    </row>
    <row r="2172" spans="2:6" hidden="1">
      <c r="B2172" s="8">
        <v>2169</v>
      </c>
      <c r="C2172" s="8" t="s">
        <v>515</v>
      </c>
      <c r="D2172" s="8" t="s">
        <v>2042</v>
      </c>
      <c r="E2172" s="39">
        <v>169000</v>
      </c>
      <c r="F2172" s="40" t="s">
        <v>1932</v>
      </c>
    </row>
    <row r="2173" spans="2:6" hidden="1">
      <c r="B2173" s="8">
        <v>2170</v>
      </c>
      <c r="C2173" s="8" t="s">
        <v>1661</v>
      </c>
      <c r="D2173" s="8" t="s">
        <v>2043</v>
      </c>
      <c r="E2173" s="39">
        <v>169000</v>
      </c>
      <c r="F2173" s="40" t="s">
        <v>1932</v>
      </c>
    </row>
    <row r="2174" spans="2:6" hidden="1">
      <c r="B2174" s="8">
        <v>2171</v>
      </c>
      <c r="C2174" s="8" t="s">
        <v>1661</v>
      </c>
      <c r="D2174" s="8" t="s">
        <v>345</v>
      </c>
      <c r="E2174" s="39">
        <v>1614000</v>
      </c>
      <c r="F2174" s="40" t="s">
        <v>1932</v>
      </c>
    </row>
    <row r="2175" spans="2:6" hidden="1">
      <c r="B2175" s="8">
        <v>2172</v>
      </c>
      <c r="C2175" s="8" t="s">
        <v>1661</v>
      </c>
      <c r="D2175" s="8" t="s">
        <v>640</v>
      </c>
      <c r="E2175" s="39">
        <v>356000</v>
      </c>
      <c r="F2175" s="40" t="s">
        <v>1932</v>
      </c>
    </row>
    <row r="2176" spans="2:6" hidden="1">
      <c r="B2176" s="8">
        <v>2173</v>
      </c>
      <c r="C2176" s="8" t="s">
        <v>1661</v>
      </c>
      <c r="D2176" s="8" t="s">
        <v>1232</v>
      </c>
      <c r="E2176" s="39">
        <v>469000</v>
      </c>
      <c r="F2176" s="40" t="s">
        <v>1932</v>
      </c>
    </row>
    <row r="2177" spans="2:6" hidden="1">
      <c r="B2177" s="8">
        <v>2174</v>
      </c>
      <c r="C2177" s="8" t="s">
        <v>517</v>
      </c>
      <c r="D2177" s="8" t="s">
        <v>199</v>
      </c>
      <c r="E2177" s="39">
        <v>124000</v>
      </c>
      <c r="F2177" s="40" t="s">
        <v>1932</v>
      </c>
    </row>
    <row r="2178" spans="2:6" hidden="1">
      <c r="B2178" s="8">
        <v>2175</v>
      </c>
      <c r="C2178" s="8" t="s">
        <v>519</v>
      </c>
      <c r="D2178" s="8" t="s">
        <v>2044</v>
      </c>
      <c r="E2178" s="39">
        <v>700000</v>
      </c>
      <c r="F2178" s="40" t="s">
        <v>1932</v>
      </c>
    </row>
    <row r="2179" spans="2:6" hidden="1">
      <c r="B2179" s="8">
        <v>2176</v>
      </c>
      <c r="C2179" s="8" t="s">
        <v>520</v>
      </c>
      <c r="D2179" s="8" t="s">
        <v>2045</v>
      </c>
      <c r="E2179" s="39">
        <v>223000</v>
      </c>
      <c r="F2179" s="40" t="s">
        <v>1932</v>
      </c>
    </row>
    <row r="2180" spans="2:6" hidden="1">
      <c r="B2180" s="8">
        <v>2177</v>
      </c>
      <c r="C2180" s="8" t="s">
        <v>525</v>
      </c>
      <c r="D2180" s="8" t="s">
        <v>1138</v>
      </c>
      <c r="E2180" s="39">
        <v>92000</v>
      </c>
      <c r="F2180" s="40" t="s">
        <v>1932</v>
      </c>
    </row>
    <row r="2181" spans="2:6" hidden="1">
      <c r="B2181" s="8">
        <v>2178</v>
      </c>
      <c r="C2181" s="8" t="s">
        <v>527</v>
      </c>
      <c r="D2181" s="8" t="s">
        <v>2046</v>
      </c>
      <c r="E2181" s="39">
        <v>204000</v>
      </c>
      <c r="F2181" s="40" t="s">
        <v>1932</v>
      </c>
    </row>
    <row r="2182" spans="2:6" hidden="1">
      <c r="B2182" s="8">
        <v>2179</v>
      </c>
      <c r="C2182" s="8" t="s">
        <v>530</v>
      </c>
      <c r="D2182" s="8" t="s">
        <v>2047</v>
      </c>
      <c r="E2182" s="39">
        <v>206000</v>
      </c>
      <c r="F2182" s="40" t="s">
        <v>1932</v>
      </c>
    </row>
    <row r="2183" spans="2:6" hidden="1">
      <c r="B2183" s="8">
        <v>2180</v>
      </c>
      <c r="C2183" s="8" t="s">
        <v>530</v>
      </c>
      <c r="D2183" s="8" t="s">
        <v>1601</v>
      </c>
      <c r="E2183" s="39">
        <v>107000</v>
      </c>
      <c r="F2183" s="40" t="s">
        <v>1932</v>
      </c>
    </row>
    <row r="2184" spans="2:6" hidden="1">
      <c r="B2184" s="8">
        <v>2181</v>
      </c>
      <c r="C2184" s="8" t="s">
        <v>532</v>
      </c>
      <c r="D2184" s="8" t="s">
        <v>2048</v>
      </c>
      <c r="E2184" s="39">
        <v>185000</v>
      </c>
      <c r="F2184" s="40" t="s">
        <v>1932</v>
      </c>
    </row>
    <row r="2185" spans="2:6" hidden="1">
      <c r="B2185" s="8">
        <v>2182</v>
      </c>
      <c r="C2185" s="8" t="s">
        <v>532</v>
      </c>
      <c r="D2185" s="8" t="s">
        <v>1015</v>
      </c>
      <c r="E2185" s="39">
        <v>53000</v>
      </c>
      <c r="F2185" s="40" t="s">
        <v>1932</v>
      </c>
    </row>
    <row r="2186" spans="2:6" hidden="1">
      <c r="B2186" s="8">
        <v>2183</v>
      </c>
      <c r="C2186" s="8" t="s">
        <v>535</v>
      </c>
      <c r="D2186" s="8" t="s">
        <v>211</v>
      </c>
      <c r="E2186" s="39">
        <v>93000</v>
      </c>
      <c r="F2186" s="40" t="s">
        <v>1932</v>
      </c>
    </row>
    <row r="2187" spans="2:6" hidden="1">
      <c r="B2187" s="8">
        <v>2184</v>
      </c>
      <c r="C2187" s="8" t="s">
        <v>1241</v>
      </c>
      <c r="D2187" s="8" t="s">
        <v>2049</v>
      </c>
      <c r="E2187" s="39">
        <v>140000</v>
      </c>
      <c r="F2187" s="40" t="s">
        <v>1932</v>
      </c>
    </row>
    <row r="2188" spans="2:6" hidden="1">
      <c r="B2188" s="8">
        <v>2185</v>
      </c>
      <c r="C2188" s="8" t="s">
        <v>1241</v>
      </c>
      <c r="D2188" s="8" t="s">
        <v>621</v>
      </c>
      <c r="E2188" s="39">
        <v>129000</v>
      </c>
      <c r="F2188" s="40" t="s">
        <v>1932</v>
      </c>
    </row>
    <row r="2189" spans="2:6" hidden="1">
      <c r="B2189" s="8">
        <v>2186</v>
      </c>
      <c r="C2189" s="8" t="s">
        <v>1241</v>
      </c>
      <c r="D2189" s="8" t="s">
        <v>2050</v>
      </c>
      <c r="E2189" s="39">
        <v>105000</v>
      </c>
      <c r="F2189" s="40" t="s">
        <v>1932</v>
      </c>
    </row>
    <row r="2190" spans="2:6" hidden="1">
      <c r="B2190" s="8">
        <v>2187</v>
      </c>
      <c r="C2190" s="8" t="s">
        <v>1241</v>
      </c>
      <c r="D2190" s="8" t="s">
        <v>2051</v>
      </c>
      <c r="E2190" s="39">
        <v>924000</v>
      </c>
      <c r="F2190" s="40" t="s">
        <v>1932</v>
      </c>
    </row>
    <row r="2191" spans="2:6" hidden="1">
      <c r="B2191" s="8">
        <v>2188</v>
      </c>
      <c r="C2191" s="8" t="s">
        <v>1668</v>
      </c>
      <c r="D2191" s="8" t="s">
        <v>2052</v>
      </c>
      <c r="E2191" s="39">
        <v>62000</v>
      </c>
      <c r="F2191" s="40" t="s">
        <v>1932</v>
      </c>
    </row>
    <row r="2192" spans="2:6" hidden="1">
      <c r="B2192" s="8">
        <v>2189</v>
      </c>
      <c r="C2192" s="8" t="s">
        <v>537</v>
      </c>
      <c r="D2192" s="8" t="s">
        <v>317</v>
      </c>
      <c r="E2192" s="39">
        <v>347000</v>
      </c>
      <c r="F2192" s="40" t="s">
        <v>1932</v>
      </c>
    </row>
    <row r="2193" spans="2:6" hidden="1">
      <c r="B2193" s="8">
        <v>2190</v>
      </c>
      <c r="C2193" s="8" t="s">
        <v>537</v>
      </c>
      <c r="D2193" s="8" t="s">
        <v>198</v>
      </c>
      <c r="E2193" s="39">
        <v>838000</v>
      </c>
      <c r="F2193" s="40" t="s">
        <v>1932</v>
      </c>
    </row>
    <row r="2194" spans="2:6" hidden="1">
      <c r="B2194" s="8">
        <v>2191</v>
      </c>
      <c r="C2194" s="8" t="s">
        <v>538</v>
      </c>
      <c r="D2194" s="8" t="s">
        <v>198</v>
      </c>
      <c r="E2194" s="39">
        <v>444000</v>
      </c>
      <c r="F2194" s="40" t="s">
        <v>1932</v>
      </c>
    </row>
    <row r="2195" spans="2:6" hidden="1">
      <c r="B2195" s="8">
        <v>2192</v>
      </c>
      <c r="C2195" s="8" t="s">
        <v>545</v>
      </c>
      <c r="D2195" s="8" t="s">
        <v>2053</v>
      </c>
      <c r="E2195" s="39">
        <v>154000</v>
      </c>
      <c r="F2195" s="40" t="s">
        <v>1932</v>
      </c>
    </row>
    <row r="2196" spans="2:6" hidden="1">
      <c r="B2196" s="8">
        <v>2193</v>
      </c>
      <c r="C2196" s="8" t="s">
        <v>2054</v>
      </c>
      <c r="D2196" s="8" t="s">
        <v>1295</v>
      </c>
      <c r="E2196" s="39">
        <v>154000</v>
      </c>
      <c r="F2196" s="40" t="s">
        <v>1932</v>
      </c>
    </row>
    <row r="2197" spans="2:6" hidden="1">
      <c r="B2197" s="8">
        <v>2194</v>
      </c>
      <c r="C2197" s="8" t="s">
        <v>549</v>
      </c>
      <c r="D2197" s="8" t="s">
        <v>381</v>
      </c>
      <c r="E2197" s="39">
        <v>123000</v>
      </c>
      <c r="F2197" s="40" t="s">
        <v>1932</v>
      </c>
    </row>
    <row r="2198" spans="2:6" hidden="1">
      <c r="B2198" s="8">
        <v>2195</v>
      </c>
      <c r="C2198" s="8" t="s">
        <v>549</v>
      </c>
      <c r="D2198" s="8" t="s">
        <v>381</v>
      </c>
      <c r="E2198" s="39">
        <v>123000</v>
      </c>
      <c r="F2198" s="40" t="s">
        <v>1932</v>
      </c>
    </row>
    <row r="2199" spans="2:6" hidden="1">
      <c r="B2199" s="8">
        <v>2196</v>
      </c>
      <c r="C2199" s="8" t="s">
        <v>549</v>
      </c>
      <c r="D2199" s="8" t="s">
        <v>2055</v>
      </c>
      <c r="E2199" s="39">
        <v>105000</v>
      </c>
      <c r="F2199" s="40" t="s">
        <v>1932</v>
      </c>
    </row>
    <row r="2200" spans="2:6" hidden="1">
      <c r="B2200" s="8">
        <v>2197</v>
      </c>
      <c r="C2200" s="8" t="s">
        <v>1251</v>
      </c>
      <c r="D2200" s="8" t="s">
        <v>2056</v>
      </c>
      <c r="E2200" s="39">
        <v>816000</v>
      </c>
      <c r="F2200" s="40" t="s">
        <v>1932</v>
      </c>
    </row>
    <row r="2201" spans="2:6" hidden="1">
      <c r="B2201" s="8">
        <v>2198</v>
      </c>
      <c r="C2201" s="8" t="s">
        <v>556</v>
      </c>
      <c r="D2201" s="8" t="s">
        <v>640</v>
      </c>
      <c r="E2201" s="39">
        <v>252000</v>
      </c>
      <c r="F2201" s="40" t="s">
        <v>1932</v>
      </c>
    </row>
    <row r="2202" spans="2:6" hidden="1">
      <c r="B2202" s="8">
        <v>2199</v>
      </c>
      <c r="C2202" s="8" t="s">
        <v>556</v>
      </c>
      <c r="D2202" s="8" t="s">
        <v>2057</v>
      </c>
      <c r="E2202" s="39">
        <v>200000</v>
      </c>
      <c r="F2202" s="40" t="s">
        <v>1932</v>
      </c>
    </row>
    <row r="2203" spans="2:6" hidden="1">
      <c r="B2203" s="8">
        <v>2200</v>
      </c>
      <c r="C2203" s="8" t="s">
        <v>2058</v>
      </c>
      <c r="D2203" s="8" t="s">
        <v>217</v>
      </c>
      <c r="E2203" s="39">
        <v>754000</v>
      </c>
      <c r="F2203" s="40" t="s">
        <v>1932</v>
      </c>
    </row>
    <row r="2204" spans="2:6" hidden="1">
      <c r="B2204" s="8">
        <v>2201</v>
      </c>
      <c r="C2204" s="8" t="s">
        <v>560</v>
      </c>
      <c r="D2204" s="8" t="s">
        <v>2059</v>
      </c>
      <c r="E2204" s="39">
        <v>74000</v>
      </c>
      <c r="F2204" s="40" t="s">
        <v>1932</v>
      </c>
    </row>
    <row r="2205" spans="2:6" hidden="1">
      <c r="B2205" s="8">
        <v>2202</v>
      </c>
      <c r="C2205" s="8" t="s">
        <v>560</v>
      </c>
      <c r="D2205" s="8" t="s">
        <v>317</v>
      </c>
      <c r="E2205" s="39">
        <v>269000</v>
      </c>
      <c r="F2205" s="40" t="s">
        <v>1932</v>
      </c>
    </row>
    <row r="2206" spans="2:6" hidden="1">
      <c r="B2206" s="8">
        <v>2203</v>
      </c>
      <c r="C2206" s="8" t="s">
        <v>560</v>
      </c>
      <c r="D2206" s="8" t="s">
        <v>199</v>
      </c>
      <c r="E2206" s="39">
        <v>53000</v>
      </c>
      <c r="F2206" s="40" t="s">
        <v>1932</v>
      </c>
    </row>
    <row r="2207" spans="2:6" hidden="1">
      <c r="B2207" s="8">
        <v>2204</v>
      </c>
      <c r="C2207" s="8" t="s">
        <v>563</v>
      </c>
      <c r="D2207" s="8" t="s">
        <v>453</v>
      </c>
      <c r="E2207" s="39">
        <v>681000</v>
      </c>
      <c r="F2207" s="40" t="s">
        <v>1932</v>
      </c>
    </row>
    <row r="2208" spans="2:6" hidden="1">
      <c r="B2208" s="8">
        <v>2205</v>
      </c>
      <c r="C2208" s="8" t="s">
        <v>1256</v>
      </c>
      <c r="D2208" s="8" t="s">
        <v>1272</v>
      </c>
      <c r="E2208" s="39">
        <v>154000</v>
      </c>
      <c r="F2208" s="40" t="s">
        <v>1932</v>
      </c>
    </row>
    <row r="2209" spans="2:6" hidden="1">
      <c r="B2209" s="8">
        <v>2206</v>
      </c>
      <c r="C2209" s="8" t="s">
        <v>566</v>
      </c>
      <c r="D2209" s="8" t="s">
        <v>2060</v>
      </c>
      <c r="E2209" s="39">
        <v>430000</v>
      </c>
      <c r="F2209" s="40" t="s">
        <v>1932</v>
      </c>
    </row>
    <row r="2210" spans="2:6" hidden="1">
      <c r="B2210" s="8">
        <v>2207</v>
      </c>
      <c r="C2210" s="8" t="s">
        <v>1258</v>
      </c>
      <c r="D2210" s="8" t="s">
        <v>2061</v>
      </c>
      <c r="E2210" s="39">
        <v>24000</v>
      </c>
      <c r="F2210" s="40" t="s">
        <v>1932</v>
      </c>
    </row>
    <row r="2211" spans="2:6" hidden="1">
      <c r="B2211" s="8">
        <v>2208</v>
      </c>
      <c r="C2211" s="8" t="s">
        <v>1258</v>
      </c>
      <c r="D2211" s="8" t="s">
        <v>405</v>
      </c>
      <c r="E2211" s="39">
        <v>121000</v>
      </c>
      <c r="F2211" s="40" t="s">
        <v>1932</v>
      </c>
    </row>
    <row r="2212" spans="2:6" hidden="1">
      <c r="B2212" s="8">
        <v>2209</v>
      </c>
      <c r="C2212" s="8" t="s">
        <v>1258</v>
      </c>
      <c r="D2212" s="8" t="s">
        <v>767</v>
      </c>
      <c r="E2212" s="39">
        <v>126000</v>
      </c>
      <c r="F2212" s="40" t="s">
        <v>1932</v>
      </c>
    </row>
    <row r="2213" spans="2:6" hidden="1">
      <c r="B2213" s="8">
        <v>2210</v>
      </c>
      <c r="C2213" s="8" t="s">
        <v>1258</v>
      </c>
      <c r="D2213" s="8" t="s">
        <v>317</v>
      </c>
      <c r="E2213" s="39">
        <v>177000</v>
      </c>
      <c r="F2213" s="40" t="s">
        <v>1932</v>
      </c>
    </row>
    <row r="2214" spans="2:6" hidden="1">
      <c r="B2214" s="8">
        <v>2211</v>
      </c>
      <c r="C2214" s="8" t="s">
        <v>1680</v>
      </c>
      <c r="D2214" s="8" t="s">
        <v>1935</v>
      </c>
      <c r="E2214" s="39">
        <v>23000</v>
      </c>
      <c r="F2214" s="40" t="s">
        <v>1932</v>
      </c>
    </row>
    <row r="2215" spans="2:6" hidden="1">
      <c r="B2215" s="8">
        <v>2212</v>
      </c>
      <c r="C2215" s="8" t="s">
        <v>1680</v>
      </c>
      <c r="D2215" s="8" t="s">
        <v>2062</v>
      </c>
      <c r="E2215" s="39">
        <v>187000</v>
      </c>
      <c r="F2215" s="40" t="s">
        <v>1932</v>
      </c>
    </row>
    <row r="2216" spans="2:6" hidden="1">
      <c r="B2216" s="8">
        <v>2213</v>
      </c>
      <c r="C2216" s="8" t="s">
        <v>1680</v>
      </c>
      <c r="D2216" s="8" t="s">
        <v>211</v>
      </c>
      <c r="E2216" s="39">
        <v>269000</v>
      </c>
      <c r="F2216" s="40" t="s">
        <v>1932</v>
      </c>
    </row>
    <row r="2217" spans="2:6" hidden="1">
      <c r="B2217" s="8">
        <v>2214</v>
      </c>
      <c r="C2217" s="8" t="s">
        <v>1680</v>
      </c>
      <c r="D2217" s="8" t="s">
        <v>317</v>
      </c>
      <c r="E2217" s="39">
        <v>128000</v>
      </c>
      <c r="F2217" s="40" t="s">
        <v>1932</v>
      </c>
    </row>
    <row r="2218" spans="2:6" hidden="1">
      <c r="B2218" s="8">
        <v>2215</v>
      </c>
      <c r="C2218" s="8" t="s">
        <v>1681</v>
      </c>
      <c r="D2218" s="8" t="s">
        <v>1010</v>
      </c>
      <c r="E2218" s="39">
        <v>164000</v>
      </c>
      <c r="F2218" s="40" t="s">
        <v>1932</v>
      </c>
    </row>
    <row r="2219" spans="2:6" hidden="1">
      <c r="B2219" s="8">
        <v>2216</v>
      </c>
      <c r="C2219" s="8" t="s">
        <v>568</v>
      </c>
      <c r="D2219" s="8" t="s">
        <v>2063</v>
      </c>
      <c r="E2219" s="39">
        <v>664000</v>
      </c>
      <c r="F2219" s="40" t="s">
        <v>1932</v>
      </c>
    </row>
    <row r="2220" spans="2:6" hidden="1">
      <c r="B2220" s="8">
        <v>2217</v>
      </c>
      <c r="C2220" s="8" t="s">
        <v>570</v>
      </c>
      <c r="D2220" s="8" t="s">
        <v>1423</v>
      </c>
      <c r="E2220" s="39">
        <v>145000</v>
      </c>
      <c r="F2220" s="40" t="s">
        <v>1932</v>
      </c>
    </row>
    <row r="2221" spans="2:6" hidden="1">
      <c r="B2221" s="8">
        <v>2218</v>
      </c>
      <c r="C2221" s="8" t="s">
        <v>570</v>
      </c>
      <c r="D2221" s="8" t="s">
        <v>2064</v>
      </c>
      <c r="E2221" s="39">
        <v>800000</v>
      </c>
      <c r="F2221" s="40" t="s">
        <v>1932</v>
      </c>
    </row>
    <row r="2222" spans="2:6" hidden="1">
      <c r="B2222" s="8">
        <v>2219</v>
      </c>
      <c r="C2222" s="8" t="s">
        <v>570</v>
      </c>
      <c r="D2222" s="8" t="s">
        <v>2065</v>
      </c>
      <c r="E2222" s="39">
        <v>345000</v>
      </c>
      <c r="F2222" s="40" t="s">
        <v>1932</v>
      </c>
    </row>
    <row r="2223" spans="2:6" hidden="1">
      <c r="B2223" s="8">
        <v>2220</v>
      </c>
      <c r="C2223" s="8" t="s">
        <v>574</v>
      </c>
      <c r="D2223" s="8" t="s">
        <v>2066</v>
      </c>
      <c r="E2223" s="39">
        <v>106000</v>
      </c>
      <c r="F2223" s="40" t="s">
        <v>1932</v>
      </c>
    </row>
    <row r="2224" spans="2:6" hidden="1">
      <c r="B2224" s="8">
        <v>2221</v>
      </c>
      <c r="C2224" s="8" t="s">
        <v>574</v>
      </c>
      <c r="D2224" s="8" t="s">
        <v>1726</v>
      </c>
      <c r="E2224" s="39">
        <v>455000</v>
      </c>
      <c r="F2224" s="40" t="s">
        <v>1932</v>
      </c>
    </row>
    <row r="2225" spans="2:6" hidden="1">
      <c r="B2225" s="8">
        <v>2222</v>
      </c>
      <c r="C2225" s="8" t="s">
        <v>576</v>
      </c>
      <c r="D2225" s="8" t="s">
        <v>2067</v>
      </c>
      <c r="E2225" s="39">
        <v>53000</v>
      </c>
      <c r="F2225" s="40" t="s">
        <v>1932</v>
      </c>
    </row>
    <row r="2226" spans="2:6" hidden="1">
      <c r="B2226" s="8">
        <v>2223</v>
      </c>
      <c r="C2226" s="8" t="s">
        <v>576</v>
      </c>
      <c r="D2226" s="8" t="s">
        <v>2060</v>
      </c>
      <c r="E2226" s="39">
        <v>430000</v>
      </c>
      <c r="F2226" s="40" t="s">
        <v>1932</v>
      </c>
    </row>
    <row r="2227" spans="2:6" hidden="1">
      <c r="B2227" s="8">
        <v>2224</v>
      </c>
      <c r="C2227" s="8" t="s">
        <v>576</v>
      </c>
      <c r="D2227" s="8" t="s">
        <v>1036</v>
      </c>
      <c r="E2227" s="39">
        <v>86000</v>
      </c>
      <c r="F2227" s="40" t="s">
        <v>1932</v>
      </c>
    </row>
    <row r="2228" spans="2:6" hidden="1">
      <c r="B2228" s="8">
        <v>2225</v>
      </c>
      <c r="C2228" s="8" t="s">
        <v>1262</v>
      </c>
      <c r="D2228" s="8" t="s">
        <v>2068</v>
      </c>
      <c r="E2228" s="39">
        <v>1139000</v>
      </c>
      <c r="F2228" s="40" t="s">
        <v>1932</v>
      </c>
    </row>
    <row r="2229" spans="2:6" hidden="1">
      <c r="B2229" s="8">
        <v>2226</v>
      </c>
      <c r="C2229" s="8" t="s">
        <v>583</v>
      </c>
      <c r="D2229" s="8" t="s">
        <v>2069</v>
      </c>
      <c r="E2229" s="39">
        <v>142000</v>
      </c>
      <c r="F2229" s="40" t="s">
        <v>1932</v>
      </c>
    </row>
    <row r="2230" spans="2:6" hidden="1">
      <c r="B2230" s="8">
        <v>2227</v>
      </c>
      <c r="C2230" s="8" t="s">
        <v>583</v>
      </c>
      <c r="D2230" s="8" t="s">
        <v>681</v>
      </c>
      <c r="E2230" s="39">
        <v>823000</v>
      </c>
      <c r="F2230" s="40" t="s">
        <v>1932</v>
      </c>
    </row>
    <row r="2231" spans="2:6" hidden="1">
      <c r="B2231" s="8">
        <v>2228</v>
      </c>
      <c r="C2231" s="8" t="s">
        <v>583</v>
      </c>
      <c r="D2231" s="8" t="s">
        <v>2038</v>
      </c>
      <c r="E2231" s="39">
        <v>120000</v>
      </c>
      <c r="F2231" s="40" t="s">
        <v>1932</v>
      </c>
    </row>
    <row r="2232" spans="2:6" hidden="1">
      <c r="B2232" s="8">
        <v>2229</v>
      </c>
      <c r="C2232" s="8" t="s">
        <v>588</v>
      </c>
      <c r="D2232" s="8" t="s">
        <v>961</v>
      </c>
      <c r="E2232" s="39">
        <v>123000</v>
      </c>
      <c r="F2232" s="40" t="s">
        <v>1932</v>
      </c>
    </row>
    <row r="2233" spans="2:6" hidden="1">
      <c r="B2233" s="8">
        <v>2230</v>
      </c>
      <c r="C2233" s="8" t="s">
        <v>588</v>
      </c>
      <c r="D2233" s="8" t="s">
        <v>640</v>
      </c>
      <c r="E2233" s="39">
        <v>401000</v>
      </c>
      <c r="F2233" s="40" t="s">
        <v>1932</v>
      </c>
    </row>
    <row r="2234" spans="2:6" hidden="1">
      <c r="B2234" s="8">
        <v>2231</v>
      </c>
      <c r="C2234" s="8" t="s">
        <v>1689</v>
      </c>
      <c r="D2234" s="8" t="s">
        <v>2070</v>
      </c>
      <c r="E2234" s="39">
        <v>1181000</v>
      </c>
      <c r="F2234" s="40" t="s">
        <v>1932</v>
      </c>
    </row>
    <row r="2235" spans="2:6" hidden="1">
      <c r="B2235" s="8">
        <v>2232</v>
      </c>
      <c r="C2235" s="8" t="s">
        <v>591</v>
      </c>
      <c r="D2235" s="8" t="s">
        <v>699</v>
      </c>
      <c r="E2235" s="39">
        <v>218000</v>
      </c>
      <c r="F2235" s="40" t="s">
        <v>1932</v>
      </c>
    </row>
    <row r="2236" spans="2:6" hidden="1">
      <c r="B2236" s="8">
        <v>2233</v>
      </c>
      <c r="C2236" s="8" t="s">
        <v>1690</v>
      </c>
      <c r="D2236" s="8" t="s">
        <v>345</v>
      </c>
      <c r="E2236" s="39">
        <v>4206000</v>
      </c>
      <c r="F2236" s="40" t="s">
        <v>1932</v>
      </c>
    </row>
    <row r="2237" spans="2:6" hidden="1">
      <c r="B2237" s="8">
        <v>2234</v>
      </c>
      <c r="C2237" s="8" t="s">
        <v>1276</v>
      </c>
      <c r="D2237" s="8" t="s">
        <v>2071</v>
      </c>
      <c r="E2237" s="39">
        <v>396000</v>
      </c>
      <c r="F2237" s="40" t="s">
        <v>1932</v>
      </c>
    </row>
    <row r="2238" spans="2:6" hidden="1">
      <c r="B2238" s="8">
        <v>2235</v>
      </c>
      <c r="C2238" s="8" t="s">
        <v>2072</v>
      </c>
      <c r="D2238" s="8" t="s">
        <v>2073</v>
      </c>
      <c r="E2238" s="39">
        <v>115000</v>
      </c>
      <c r="F2238" s="40" t="s">
        <v>1932</v>
      </c>
    </row>
    <row r="2239" spans="2:6" hidden="1">
      <c r="B2239" s="8">
        <v>2236</v>
      </c>
      <c r="C2239" s="8" t="s">
        <v>1693</v>
      </c>
      <c r="D2239" s="8" t="s">
        <v>2074</v>
      </c>
      <c r="E2239" s="39">
        <v>96000</v>
      </c>
      <c r="F2239" s="40" t="s">
        <v>1932</v>
      </c>
    </row>
    <row r="2240" spans="2:6" hidden="1">
      <c r="B2240" s="8">
        <v>2237</v>
      </c>
      <c r="C2240" s="8" t="s">
        <v>599</v>
      </c>
      <c r="D2240" s="8" t="s">
        <v>198</v>
      </c>
      <c r="E2240" s="39">
        <v>498000</v>
      </c>
      <c r="F2240" s="40" t="s">
        <v>1932</v>
      </c>
    </row>
    <row r="2241" spans="2:6" hidden="1">
      <c r="B2241" s="8">
        <v>2238</v>
      </c>
      <c r="C2241" s="8" t="s">
        <v>599</v>
      </c>
      <c r="D2241" s="8" t="s">
        <v>2075</v>
      </c>
      <c r="E2241" s="39">
        <v>547000</v>
      </c>
      <c r="F2241" s="40" t="s">
        <v>1932</v>
      </c>
    </row>
    <row r="2242" spans="2:6" hidden="1">
      <c r="B2242" s="8">
        <v>2239</v>
      </c>
      <c r="C2242" s="8" t="s">
        <v>599</v>
      </c>
      <c r="D2242" s="8" t="s">
        <v>2076</v>
      </c>
      <c r="E2242" s="39">
        <v>344000</v>
      </c>
      <c r="F2242" s="40" t="s">
        <v>1932</v>
      </c>
    </row>
    <row r="2243" spans="2:6" hidden="1">
      <c r="B2243" s="8">
        <v>2240</v>
      </c>
      <c r="C2243" s="8" t="s">
        <v>1695</v>
      </c>
      <c r="D2243" s="8" t="s">
        <v>2077</v>
      </c>
      <c r="E2243" s="39">
        <v>84000</v>
      </c>
      <c r="F2243" s="40" t="s">
        <v>1932</v>
      </c>
    </row>
    <row r="2244" spans="2:6" hidden="1">
      <c r="B2244" s="8">
        <v>2241</v>
      </c>
      <c r="C2244" s="8" t="s">
        <v>1695</v>
      </c>
      <c r="D2244" s="8" t="s">
        <v>2078</v>
      </c>
      <c r="E2244" s="39">
        <v>499000</v>
      </c>
      <c r="F2244" s="40" t="s">
        <v>1932</v>
      </c>
    </row>
    <row r="2245" spans="2:6" hidden="1">
      <c r="B2245" s="8">
        <v>2242</v>
      </c>
      <c r="C2245" s="8" t="s">
        <v>1277</v>
      </c>
      <c r="D2245" s="8" t="s">
        <v>217</v>
      </c>
      <c r="E2245" s="39">
        <v>754000</v>
      </c>
      <c r="F2245" s="40" t="s">
        <v>1932</v>
      </c>
    </row>
    <row r="2246" spans="2:6" hidden="1">
      <c r="B2246" s="8">
        <v>2243</v>
      </c>
      <c r="C2246" s="8" t="s">
        <v>601</v>
      </c>
      <c r="D2246" s="8" t="s">
        <v>598</v>
      </c>
      <c r="E2246" s="39">
        <v>781000</v>
      </c>
      <c r="F2246" s="40" t="s">
        <v>1932</v>
      </c>
    </row>
    <row r="2247" spans="2:6" hidden="1">
      <c r="B2247" s="8">
        <v>2244</v>
      </c>
      <c r="C2247" s="8" t="s">
        <v>602</v>
      </c>
      <c r="D2247" s="8" t="s">
        <v>1601</v>
      </c>
      <c r="E2247" s="39">
        <v>88000</v>
      </c>
      <c r="F2247" s="40" t="s">
        <v>1932</v>
      </c>
    </row>
    <row r="2248" spans="2:6" hidden="1">
      <c r="B2248" s="8">
        <v>2245</v>
      </c>
      <c r="C2248" s="8" t="s">
        <v>602</v>
      </c>
      <c r="D2248" s="8" t="s">
        <v>453</v>
      </c>
      <c r="E2248" s="39">
        <v>110000</v>
      </c>
      <c r="F2248" s="40" t="s">
        <v>1932</v>
      </c>
    </row>
    <row r="2249" spans="2:6" hidden="1">
      <c r="B2249" s="8">
        <v>2246</v>
      </c>
      <c r="C2249" s="8" t="s">
        <v>602</v>
      </c>
      <c r="D2249" s="8" t="s">
        <v>2038</v>
      </c>
      <c r="E2249" s="39">
        <v>120000</v>
      </c>
      <c r="F2249" s="40" t="s">
        <v>1932</v>
      </c>
    </row>
    <row r="2250" spans="2:6" hidden="1">
      <c r="B2250" s="8">
        <v>2247</v>
      </c>
      <c r="C2250" s="8" t="s">
        <v>1699</v>
      </c>
      <c r="D2250" s="8" t="s">
        <v>211</v>
      </c>
      <c r="E2250" s="39">
        <v>392000</v>
      </c>
      <c r="F2250" s="40" t="s">
        <v>1932</v>
      </c>
    </row>
    <row r="2251" spans="2:6" hidden="1">
      <c r="B2251" s="8">
        <v>2248</v>
      </c>
      <c r="C2251" s="8" t="s">
        <v>604</v>
      </c>
      <c r="D2251" s="8" t="s">
        <v>659</v>
      </c>
      <c r="E2251" s="39">
        <v>1621000</v>
      </c>
      <c r="F2251" s="40" t="s">
        <v>1932</v>
      </c>
    </row>
    <row r="2252" spans="2:6" hidden="1">
      <c r="B2252" s="8">
        <v>2249</v>
      </c>
      <c r="C2252" s="8" t="s">
        <v>607</v>
      </c>
      <c r="D2252" s="8" t="s">
        <v>339</v>
      </c>
      <c r="E2252" s="39">
        <v>124000</v>
      </c>
      <c r="F2252" s="40" t="s">
        <v>1932</v>
      </c>
    </row>
    <row r="2253" spans="2:6" hidden="1">
      <c r="B2253" s="8">
        <v>2250</v>
      </c>
      <c r="C2253" s="8" t="s">
        <v>1703</v>
      </c>
      <c r="D2253" s="8" t="s">
        <v>2079</v>
      </c>
      <c r="E2253" s="39">
        <v>103000</v>
      </c>
      <c r="F2253" s="40" t="s">
        <v>1932</v>
      </c>
    </row>
    <row r="2254" spans="2:6" hidden="1">
      <c r="B2254" s="8">
        <v>2251</v>
      </c>
      <c r="C2254" s="8" t="s">
        <v>1703</v>
      </c>
      <c r="D2254" s="8" t="s">
        <v>1555</v>
      </c>
      <c r="E2254" s="39">
        <v>339000</v>
      </c>
      <c r="F2254" s="40" t="s">
        <v>1932</v>
      </c>
    </row>
    <row r="2255" spans="2:6" hidden="1">
      <c r="B2255" s="8">
        <v>2252</v>
      </c>
      <c r="C2255" s="8" t="s">
        <v>1706</v>
      </c>
      <c r="D2255" s="8" t="s">
        <v>217</v>
      </c>
      <c r="E2255" s="39">
        <v>487000</v>
      </c>
      <c r="F2255" s="40" t="s">
        <v>1932</v>
      </c>
    </row>
    <row r="2256" spans="2:6" hidden="1">
      <c r="B2256" s="8">
        <v>2253</v>
      </c>
      <c r="C2256" s="8" t="s">
        <v>1706</v>
      </c>
      <c r="D2256" s="8" t="s">
        <v>2080</v>
      </c>
      <c r="E2256" s="39">
        <v>663000</v>
      </c>
      <c r="F2256" s="40" t="s">
        <v>1932</v>
      </c>
    </row>
    <row r="2257" spans="2:6" hidden="1">
      <c r="B2257" s="8">
        <v>2254</v>
      </c>
      <c r="C2257" s="8" t="s">
        <v>1281</v>
      </c>
      <c r="D2257" s="8" t="s">
        <v>2081</v>
      </c>
      <c r="E2257" s="39">
        <v>521000</v>
      </c>
      <c r="F2257" s="40" t="s">
        <v>1932</v>
      </c>
    </row>
    <row r="2258" spans="2:6" hidden="1">
      <c r="B2258" s="8">
        <v>2255</v>
      </c>
      <c r="C2258" s="8" t="s">
        <v>1281</v>
      </c>
      <c r="D2258" s="8" t="s">
        <v>405</v>
      </c>
      <c r="E2258" s="39">
        <v>121000</v>
      </c>
      <c r="F2258" s="40" t="s">
        <v>1932</v>
      </c>
    </row>
    <row r="2259" spans="2:6" hidden="1">
      <c r="B2259" s="8">
        <v>2256</v>
      </c>
      <c r="C2259" s="8" t="s">
        <v>1282</v>
      </c>
      <c r="D2259" s="8" t="s">
        <v>211</v>
      </c>
      <c r="E2259" s="39">
        <v>165000</v>
      </c>
      <c r="F2259" s="40" t="s">
        <v>1932</v>
      </c>
    </row>
    <row r="2260" spans="2:6" hidden="1">
      <c r="B2260" s="8">
        <v>2257</v>
      </c>
      <c r="C2260" s="8" t="s">
        <v>1282</v>
      </c>
      <c r="D2260" s="8" t="s">
        <v>1997</v>
      </c>
      <c r="E2260" s="39">
        <v>202000</v>
      </c>
      <c r="F2260" s="40" t="s">
        <v>1932</v>
      </c>
    </row>
    <row r="2261" spans="2:6" hidden="1">
      <c r="B2261" s="8">
        <v>2258</v>
      </c>
      <c r="C2261" s="8" t="s">
        <v>1282</v>
      </c>
      <c r="D2261" s="8" t="s">
        <v>198</v>
      </c>
      <c r="E2261" s="39">
        <v>572000</v>
      </c>
      <c r="F2261" s="40" t="s">
        <v>1932</v>
      </c>
    </row>
    <row r="2262" spans="2:6" hidden="1">
      <c r="B2262" s="8">
        <v>2259</v>
      </c>
      <c r="C2262" s="8" t="s">
        <v>1282</v>
      </c>
      <c r="D2262" s="8" t="s">
        <v>2055</v>
      </c>
      <c r="E2262" s="39">
        <v>141000</v>
      </c>
      <c r="F2262" s="40" t="s">
        <v>1932</v>
      </c>
    </row>
    <row r="2263" spans="2:6" hidden="1">
      <c r="B2263" s="8">
        <v>2260</v>
      </c>
      <c r="C2263" s="8" t="s">
        <v>615</v>
      </c>
      <c r="D2263" s="8" t="s">
        <v>211</v>
      </c>
      <c r="E2263" s="39">
        <v>816000</v>
      </c>
      <c r="F2263" s="40" t="s">
        <v>1932</v>
      </c>
    </row>
    <row r="2264" spans="2:6" hidden="1">
      <c r="B2264" s="8">
        <v>2261</v>
      </c>
      <c r="C2264" s="8" t="s">
        <v>615</v>
      </c>
      <c r="D2264" s="8" t="s">
        <v>211</v>
      </c>
      <c r="E2264" s="39">
        <v>122000</v>
      </c>
      <c r="F2264" s="40" t="s">
        <v>1932</v>
      </c>
    </row>
    <row r="2265" spans="2:6" hidden="1">
      <c r="B2265" s="8">
        <v>2262</v>
      </c>
      <c r="C2265" s="8" t="s">
        <v>622</v>
      </c>
      <c r="D2265" s="8" t="s">
        <v>2060</v>
      </c>
      <c r="E2265" s="39">
        <v>540000</v>
      </c>
      <c r="F2265" s="40" t="s">
        <v>1932</v>
      </c>
    </row>
    <row r="2266" spans="2:6" hidden="1">
      <c r="B2266" s="8">
        <v>2263</v>
      </c>
      <c r="C2266" s="8" t="s">
        <v>1289</v>
      </c>
      <c r="D2266" s="8" t="s">
        <v>1287</v>
      </c>
      <c r="E2266" s="39">
        <v>1203000</v>
      </c>
      <c r="F2266" s="40" t="s">
        <v>1932</v>
      </c>
    </row>
    <row r="2267" spans="2:6" hidden="1">
      <c r="B2267" s="8">
        <v>2264</v>
      </c>
      <c r="C2267" s="8" t="s">
        <v>625</v>
      </c>
      <c r="D2267" s="8" t="s">
        <v>198</v>
      </c>
      <c r="E2267" s="83">
        <v>459000</v>
      </c>
      <c r="F2267" s="40" t="s">
        <v>1932</v>
      </c>
    </row>
    <row r="2268" spans="2:6" hidden="1">
      <c r="B2268" s="8">
        <v>2265</v>
      </c>
      <c r="C2268" s="8" t="s">
        <v>628</v>
      </c>
      <c r="D2268" s="8" t="s">
        <v>2082</v>
      </c>
      <c r="E2268" s="83">
        <v>183000</v>
      </c>
      <c r="F2268" s="40" t="s">
        <v>1932</v>
      </c>
    </row>
    <row r="2269" spans="2:6" hidden="1">
      <c r="B2269" s="8">
        <v>2266</v>
      </c>
      <c r="C2269" s="8" t="s">
        <v>633</v>
      </c>
      <c r="D2269" s="8" t="s">
        <v>2083</v>
      </c>
      <c r="E2269" s="83">
        <v>62000</v>
      </c>
      <c r="F2269" s="40" t="s">
        <v>1932</v>
      </c>
    </row>
    <row r="2270" spans="2:6" hidden="1">
      <c r="B2270" s="8">
        <v>2267</v>
      </c>
      <c r="C2270" s="8" t="s">
        <v>633</v>
      </c>
      <c r="D2270" s="8" t="s">
        <v>767</v>
      </c>
      <c r="E2270" s="83">
        <v>110000</v>
      </c>
      <c r="F2270" s="40" t="s">
        <v>1932</v>
      </c>
    </row>
    <row r="2271" spans="2:6" hidden="1">
      <c r="B2271" s="8">
        <v>2268</v>
      </c>
      <c r="C2271" s="8" t="s">
        <v>633</v>
      </c>
      <c r="D2271" s="8" t="s">
        <v>198</v>
      </c>
      <c r="E2271" s="83">
        <v>301000</v>
      </c>
      <c r="F2271" s="40" t="s">
        <v>1932</v>
      </c>
    </row>
    <row r="2272" spans="2:6" hidden="1">
      <c r="B2272" s="8">
        <v>2269</v>
      </c>
      <c r="C2272" s="8" t="s">
        <v>2084</v>
      </c>
      <c r="D2272" s="8" t="s">
        <v>1935</v>
      </c>
      <c r="E2272" s="83">
        <v>36000</v>
      </c>
      <c r="F2272" s="40" t="s">
        <v>1932</v>
      </c>
    </row>
    <row r="2273" spans="2:6" hidden="1">
      <c r="B2273" s="8">
        <v>2270</v>
      </c>
      <c r="C2273" s="8" t="s">
        <v>2084</v>
      </c>
      <c r="D2273" s="8" t="s">
        <v>2085</v>
      </c>
      <c r="E2273" s="83">
        <v>782000</v>
      </c>
      <c r="F2273" s="40" t="s">
        <v>1932</v>
      </c>
    </row>
    <row r="2274" spans="2:6" hidden="1">
      <c r="B2274" s="8">
        <v>2271</v>
      </c>
      <c r="C2274" s="8" t="s">
        <v>2084</v>
      </c>
      <c r="D2274" s="8" t="s">
        <v>317</v>
      </c>
      <c r="E2274" s="83">
        <v>164000</v>
      </c>
      <c r="F2274" s="40" t="s">
        <v>1932</v>
      </c>
    </row>
    <row r="2275" spans="2:6" hidden="1">
      <c r="B2275" s="8">
        <v>2272</v>
      </c>
      <c r="C2275" s="8" t="s">
        <v>635</v>
      </c>
      <c r="D2275" s="8" t="s">
        <v>1970</v>
      </c>
      <c r="E2275" s="83">
        <v>325000</v>
      </c>
      <c r="F2275" s="40" t="s">
        <v>1932</v>
      </c>
    </row>
    <row r="2276" spans="2:6" hidden="1">
      <c r="B2276" s="8">
        <v>2273</v>
      </c>
      <c r="C2276" s="8" t="s">
        <v>2086</v>
      </c>
      <c r="D2276" s="8" t="s">
        <v>217</v>
      </c>
      <c r="E2276" s="83">
        <v>487000</v>
      </c>
      <c r="F2276" s="40" t="s">
        <v>1932</v>
      </c>
    </row>
    <row r="2277" spans="2:6" hidden="1">
      <c r="B2277" s="8">
        <v>2274</v>
      </c>
      <c r="C2277" s="8" t="s">
        <v>2086</v>
      </c>
      <c r="D2277" s="8" t="s">
        <v>498</v>
      </c>
      <c r="E2277" s="83">
        <v>455000</v>
      </c>
      <c r="F2277" s="40" t="s">
        <v>1932</v>
      </c>
    </row>
    <row r="2278" spans="2:6" hidden="1">
      <c r="B2278" s="8">
        <v>2275</v>
      </c>
      <c r="C2278" s="8" t="s">
        <v>638</v>
      </c>
      <c r="D2278" s="8" t="s">
        <v>317</v>
      </c>
      <c r="E2278" s="83">
        <v>222000</v>
      </c>
      <c r="F2278" s="40" t="s">
        <v>1932</v>
      </c>
    </row>
    <row r="2279" spans="2:6" hidden="1">
      <c r="B2279" s="8">
        <v>2276</v>
      </c>
      <c r="C2279" s="8" t="s">
        <v>639</v>
      </c>
      <c r="D2279" s="8" t="s">
        <v>1005</v>
      </c>
      <c r="E2279" s="83">
        <v>154000</v>
      </c>
      <c r="F2279" s="40" t="s">
        <v>1932</v>
      </c>
    </row>
    <row r="2280" spans="2:6" hidden="1">
      <c r="B2280" s="8">
        <v>2277</v>
      </c>
      <c r="C2280" s="8" t="s">
        <v>642</v>
      </c>
      <c r="D2280" s="8" t="s">
        <v>2087</v>
      </c>
      <c r="E2280" s="83">
        <v>499000</v>
      </c>
      <c r="F2280" s="40" t="s">
        <v>1932</v>
      </c>
    </row>
    <row r="2281" spans="2:6" hidden="1">
      <c r="B2281" s="8">
        <v>2278</v>
      </c>
      <c r="C2281" s="8" t="s">
        <v>649</v>
      </c>
      <c r="D2281" s="8" t="s">
        <v>2088</v>
      </c>
      <c r="E2281" s="83">
        <v>417000</v>
      </c>
      <c r="F2281" s="40" t="s">
        <v>1932</v>
      </c>
    </row>
    <row r="2282" spans="2:6" hidden="1">
      <c r="B2282" s="8">
        <v>2279</v>
      </c>
      <c r="C2282" s="8" t="s">
        <v>650</v>
      </c>
      <c r="D2282" s="8" t="s">
        <v>1575</v>
      </c>
      <c r="E2282" s="83">
        <v>32000</v>
      </c>
      <c r="F2282" s="40" t="s">
        <v>1932</v>
      </c>
    </row>
    <row r="2283" spans="2:6" hidden="1">
      <c r="B2283" s="8">
        <v>2280</v>
      </c>
      <c r="C2283" s="8" t="s">
        <v>650</v>
      </c>
      <c r="D2283" s="8" t="s">
        <v>1300</v>
      </c>
      <c r="E2283" s="83">
        <v>209000</v>
      </c>
      <c r="F2283" s="40" t="s">
        <v>1932</v>
      </c>
    </row>
    <row r="2284" spans="2:6" hidden="1">
      <c r="B2284" s="8">
        <v>2281</v>
      </c>
      <c r="C2284" s="8" t="s">
        <v>650</v>
      </c>
      <c r="D2284" s="8" t="s">
        <v>2038</v>
      </c>
      <c r="E2284" s="83">
        <v>120000</v>
      </c>
      <c r="F2284" s="40" t="s">
        <v>1932</v>
      </c>
    </row>
    <row r="2285" spans="2:6" hidden="1">
      <c r="B2285" s="8">
        <v>2282</v>
      </c>
      <c r="C2285" s="8" t="s">
        <v>656</v>
      </c>
      <c r="D2285" s="8" t="s">
        <v>211</v>
      </c>
      <c r="E2285" s="83">
        <v>286000</v>
      </c>
      <c r="F2285" s="40" t="s">
        <v>1932</v>
      </c>
    </row>
    <row r="2286" spans="2:6" hidden="1">
      <c r="B2286" s="8">
        <v>2283</v>
      </c>
      <c r="C2286" s="8" t="s">
        <v>658</v>
      </c>
      <c r="D2286" s="8" t="s">
        <v>2089</v>
      </c>
      <c r="E2286" s="83">
        <v>1803000</v>
      </c>
      <c r="F2286" s="40" t="s">
        <v>1932</v>
      </c>
    </row>
    <row r="2287" spans="2:6" hidden="1">
      <c r="B2287" s="8">
        <v>2284</v>
      </c>
      <c r="C2287" s="8" t="s">
        <v>660</v>
      </c>
      <c r="D2287" s="8" t="s">
        <v>198</v>
      </c>
      <c r="E2287" s="83">
        <v>1131000</v>
      </c>
      <c r="F2287" s="40" t="s">
        <v>1932</v>
      </c>
    </row>
    <row r="2288" spans="2:6" hidden="1">
      <c r="B2288" s="8">
        <v>2285</v>
      </c>
      <c r="C2288" s="8" t="s">
        <v>660</v>
      </c>
      <c r="D2288" s="8" t="s">
        <v>1466</v>
      </c>
      <c r="E2288" s="83">
        <v>242000</v>
      </c>
      <c r="F2288" s="40" t="s">
        <v>1932</v>
      </c>
    </row>
    <row r="2289" spans="2:6" hidden="1">
      <c r="B2289" s="8">
        <v>2286</v>
      </c>
      <c r="C2289" s="8" t="s">
        <v>660</v>
      </c>
      <c r="D2289" s="8" t="s">
        <v>211</v>
      </c>
      <c r="E2289" s="83">
        <v>354000</v>
      </c>
      <c r="F2289" s="40" t="s">
        <v>1932</v>
      </c>
    </row>
    <row r="2290" spans="2:6" hidden="1">
      <c r="B2290" s="8">
        <v>2287</v>
      </c>
      <c r="C2290" s="8" t="s">
        <v>661</v>
      </c>
      <c r="D2290" s="8" t="s">
        <v>838</v>
      </c>
      <c r="E2290" s="83">
        <v>91000</v>
      </c>
      <c r="F2290" s="40" t="s">
        <v>1932</v>
      </c>
    </row>
    <row r="2291" spans="2:6" hidden="1">
      <c r="B2291" s="8">
        <v>2288</v>
      </c>
      <c r="C2291" s="8" t="s">
        <v>1308</v>
      </c>
      <c r="D2291" s="8" t="s">
        <v>211</v>
      </c>
      <c r="E2291" s="83">
        <v>1122000</v>
      </c>
      <c r="F2291" s="40" t="s">
        <v>1932</v>
      </c>
    </row>
    <row r="2292" spans="2:6" hidden="1">
      <c r="B2292" s="8">
        <v>2289</v>
      </c>
      <c r="C2292" s="8" t="s">
        <v>662</v>
      </c>
      <c r="D2292" s="8" t="s">
        <v>2038</v>
      </c>
      <c r="E2292" s="83">
        <v>120000</v>
      </c>
      <c r="F2292" s="40" t="s">
        <v>1932</v>
      </c>
    </row>
    <row r="2293" spans="2:6" hidden="1">
      <c r="B2293" s="8">
        <v>2290</v>
      </c>
      <c r="C2293" s="8" t="s">
        <v>662</v>
      </c>
      <c r="D2293" s="8" t="s">
        <v>2090</v>
      </c>
      <c r="E2293" s="83">
        <v>193000</v>
      </c>
      <c r="F2293" s="40" t="s">
        <v>1932</v>
      </c>
    </row>
    <row r="2294" spans="2:6" hidden="1">
      <c r="B2294" s="8">
        <v>2291</v>
      </c>
      <c r="C2294" s="8" t="s">
        <v>662</v>
      </c>
      <c r="D2294" s="8" t="s">
        <v>2060</v>
      </c>
      <c r="E2294" s="83">
        <v>430000</v>
      </c>
      <c r="F2294" s="40" t="s">
        <v>1932</v>
      </c>
    </row>
    <row r="2295" spans="2:6" hidden="1">
      <c r="B2295" s="8">
        <v>2292</v>
      </c>
      <c r="C2295" s="8" t="s">
        <v>664</v>
      </c>
      <c r="D2295" s="8" t="s">
        <v>199</v>
      </c>
      <c r="E2295" s="83">
        <v>53000</v>
      </c>
      <c r="F2295" s="40" t="s">
        <v>1932</v>
      </c>
    </row>
    <row r="2296" spans="2:6" hidden="1">
      <c r="B2296" s="8">
        <v>2293</v>
      </c>
      <c r="C2296" s="8" t="s">
        <v>664</v>
      </c>
      <c r="D2296" s="8" t="s">
        <v>2091</v>
      </c>
      <c r="E2296" s="83">
        <v>84000</v>
      </c>
      <c r="F2296" s="40" t="s">
        <v>1932</v>
      </c>
    </row>
    <row r="2297" spans="2:6" hidden="1">
      <c r="B2297" s="8">
        <v>2294</v>
      </c>
      <c r="C2297" s="8" t="s">
        <v>667</v>
      </c>
      <c r="D2297" s="8" t="s">
        <v>769</v>
      </c>
      <c r="E2297" s="83">
        <v>100000</v>
      </c>
      <c r="F2297" s="40" t="s">
        <v>1932</v>
      </c>
    </row>
    <row r="2298" spans="2:6" hidden="1">
      <c r="B2298" s="8">
        <v>2295</v>
      </c>
      <c r="C2298" s="8" t="s">
        <v>671</v>
      </c>
      <c r="D2298" s="8" t="s">
        <v>2092</v>
      </c>
      <c r="E2298" s="83">
        <v>53000</v>
      </c>
      <c r="F2298" s="40" t="s">
        <v>1932</v>
      </c>
    </row>
    <row r="2299" spans="2:6" hidden="1">
      <c r="B2299" s="8">
        <v>2296</v>
      </c>
      <c r="C2299" s="8" t="s">
        <v>671</v>
      </c>
      <c r="D2299" s="8" t="s">
        <v>552</v>
      </c>
      <c r="E2299" s="83">
        <v>80000</v>
      </c>
      <c r="F2299" s="40" t="s">
        <v>1932</v>
      </c>
    </row>
    <row r="2300" spans="2:6" hidden="1">
      <c r="B2300" s="8">
        <v>2297</v>
      </c>
      <c r="C2300" s="8" t="s">
        <v>671</v>
      </c>
      <c r="D2300" s="8" t="s">
        <v>2093</v>
      </c>
      <c r="E2300" s="83">
        <v>84000</v>
      </c>
      <c r="F2300" s="40" t="s">
        <v>1932</v>
      </c>
    </row>
    <row r="2301" spans="2:6" hidden="1">
      <c r="B2301" s="8">
        <v>2298</v>
      </c>
      <c r="C2301" s="8" t="s">
        <v>671</v>
      </c>
      <c r="D2301" s="8" t="s">
        <v>1300</v>
      </c>
      <c r="E2301" s="83">
        <v>84000</v>
      </c>
      <c r="F2301" s="40" t="s">
        <v>1932</v>
      </c>
    </row>
    <row r="2302" spans="2:6" hidden="1">
      <c r="B2302" s="8">
        <v>2299</v>
      </c>
      <c r="C2302" s="8" t="s">
        <v>673</v>
      </c>
      <c r="D2302" s="8" t="s">
        <v>2038</v>
      </c>
      <c r="E2302" s="83">
        <v>120000</v>
      </c>
      <c r="F2302" s="40" t="s">
        <v>1932</v>
      </c>
    </row>
    <row r="2303" spans="2:6" hidden="1">
      <c r="B2303" s="8">
        <v>2300</v>
      </c>
      <c r="C2303" s="8" t="s">
        <v>673</v>
      </c>
      <c r="D2303" s="8" t="s">
        <v>1740</v>
      </c>
      <c r="E2303" s="83">
        <v>273000</v>
      </c>
      <c r="F2303" s="40" t="s">
        <v>1932</v>
      </c>
    </row>
    <row r="2304" spans="2:6" hidden="1">
      <c r="B2304" s="8">
        <v>2301</v>
      </c>
      <c r="C2304" s="8" t="s">
        <v>675</v>
      </c>
      <c r="D2304" s="8" t="s">
        <v>1559</v>
      </c>
      <c r="E2304" s="83">
        <v>53000</v>
      </c>
      <c r="F2304" s="40" t="s">
        <v>1932</v>
      </c>
    </row>
    <row r="2305" spans="2:6" hidden="1">
      <c r="B2305" s="8">
        <v>2302</v>
      </c>
      <c r="C2305" s="8" t="s">
        <v>675</v>
      </c>
      <c r="D2305" s="8" t="s">
        <v>2094</v>
      </c>
      <c r="E2305" s="83">
        <v>91000</v>
      </c>
      <c r="F2305" s="40" t="s">
        <v>1932</v>
      </c>
    </row>
    <row r="2306" spans="2:6" hidden="1">
      <c r="B2306" s="8">
        <v>2303</v>
      </c>
      <c r="C2306" s="8" t="s">
        <v>676</v>
      </c>
      <c r="D2306" s="8" t="s">
        <v>1970</v>
      </c>
      <c r="E2306" s="83">
        <v>317000</v>
      </c>
      <c r="F2306" s="40" t="s">
        <v>1932</v>
      </c>
    </row>
    <row r="2307" spans="2:6" hidden="1">
      <c r="B2307" s="8">
        <v>2304</v>
      </c>
      <c r="C2307" s="8" t="s">
        <v>677</v>
      </c>
      <c r="D2307" s="8" t="s">
        <v>2095</v>
      </c>
      <c r="E2307" s="83">
        <v>176000</v>
      </c>
      <c r="F2307" s="40" t="s">
        <v>1932</v>
      </c>
    </row>
    <row r="2308" spans="2:6" hidden="1">
      <c r="B2308" s="8">
        <v>2305</v>
      </c>
      <c r="C2308" s="8" t="s">
        <v>1724</v>
      </c>
      <c r="D2308" s="8" t="s">
        <v>699</v>
      </c>
      <c r="E2308" s="83">
        <v>84000</v>
      </c>
      <c r="F2308" s="40" t="s">
        <v>1932</v>
      </c>
    </row>
    <row r="2309" spans="2:6" hidden="1">
      <c r="B2309" s="8">
        <v>2306</v>
      </c>
      <c r="C2309" s="8" t="s">
        <v>1318</v>
      </c>
      <c r="D2309" s="8" t="s">
        <v>640</v>
      </c>
      <c r="E2309" s="83">
        <v>340000</v>
      </c>
      <c r="F2309" s="40" t="s">
        <v>1932</v>
      </c>
    </row>
    <row r="2310" spans="2:6" hidden="1">
      <c r="B2310" s="8">
        <v>2307</v>
      </c>
      <c r="C2310" s="8" t="s">
        <v>1320</v>
      </c>
      <c r="D2310" s="8" t="s">
        <v>2096</v>
      </c>
      <c r="E2310" s="83">
        <v>965000</v>
      </c>
      <c r="F2310" s="40" t="s">
        <v>1932</v>
      </c>
    </row>
    <row r="2311" spans="2:6" hidden="1">
      <c r="B2311" s="8">
        <v>2308</v>
      </c>
      <c r="C2311" s="8" t="s">
        <v>2097</v>
      </c>
      <c r="D2311" s="8" t="s">
        <v>2098</v>
      </c>
      <c r="E2311" s="83">
        <v>153000</v>
      </c>
      <c r="F2311" s="40" t="s">
        <v>1932</v>
      </c>
    </row>
    <row r="2312" spans="2:6" hidden="1">
      <c r="B2312" s="8">
        <v>2309</v>
      </c>
      <c r="C2312" s="8" t="s">
        <v>2097</v>
      </c>
      <c r="D2312" s="8" t="s">
        <v>2099</v>
      </c>
      <c r="E2312" s="83">
        <v>625000</v>
      </c>
      <c r="F2312" s="40" t="s">
        <v>1932</v>
      </c>
    </row>
    <row r="2313" spans="2:6" hidden="1">
      <c r="B2313" s="8">
        <v>2310</v>
      </c>
      <c r="C2313" s="8" t="s">
        <v>680</v>
      </c>
      <c r="D2313" s="8" t="s">
        <v>2100</v>
      </c>
      <c r="E2313" s="83">
        <v>926000</v>
      </c>
      <c r="F2313" s="40" t="s">
        <v>1932</v>
      </c>
    </row>
    <row r="2314" spans="2:6" hidden="1">
      <c r="B2314" s="8">
        <v>2311</v>
      </c>
      <c r="C2314" s="8" t="s">
        <v>1323</v>
      </c>
      <c r="D2314" s="8" t="s">
        <v>2101</v>
      </c>
      <c r="E2314" s="83">
        <v>191000</v>
      </c>
      <c r="F2314" s="40" t="s">
        <v>1932</v>
      </c>
    </row>
    <row r="2315" spans="2:6" hidden="1">
      <c r="B2315" s="8">
        <v>2312</v>
      </c>
      <c r="C2315" s="8" t="s">
        <v>682</v>
      </c>
      <c r="D2315" s="8" t="s">
        <v>381</v>
      </c>
      <c r="E2315" s="83">
        <v>578000</v>
      </c>
      <c r="F2315" s="40" t="s">
        <v>1932</v>
      </c>
    </row>
    <row r="2316" spans="2:6" hidden="1">
      <c r="B2316" s="8">
        <v>2313</v>
      </c>
      <c r="C2316" s="8" t="s">
        <v>682</v>
      </c>
      <c r="D2316" s="8" t="s">
        <v>732</v>
      </c>
      <c r="E2316" s="83">
        <v>177000</v>
      </c>
      <c r="F2316" s="40" t="s">
        <v>1932</v>
      </c>
    </row>
    <row r="2317" spans="2:6" hidden="1">
      <c r="B2317" s="8">
        <v>2314</v>
      </c>
      <c r="C2317" s="8" t="s">
        <v>683</v>
      </c>
      <c r="D2317" s="8" t="s">
        <v>2102</v>
      </c>
      <c r="E2317" s="83">
        <v>146000</v>
      </c>
      <c r="F2317" s="40" t="s">
        <v>1932</v>
      </c>
    </row>
    <row r="2318" spans="2:6" hidden="1">
      <c r="B2318" s="8">
        <v>2315</v>
      </c>
      <c r="C2318" s="8" t="s">
        <v>683</v>
      </c>
      <c r="D2318" s="8" t="s">
        <v>2103</v>
      </c>
      <c r="E2318" s="83">
        <v>218000</v>
      </c>
      <c r="F2318" s="40" t="s">
        <v>1932</v>
      </c>
    </row>
    <row r="2319" spans="2:6" hidden="1">
      <c r="B2319" s="8">
        <v>2316</v>
      </c>
      <c r="C2319" s="8" t="s">
        <v>683</v>
      </c>
      <c r="D2319" s="8" t="s">
        <v>1601</v>
      </c>
      <c r="E2319" s="83">
        <v>75000</v>
      </c>
      <c r="F2319" s="40" t="s">
        <v>1932</v>
      </c>
    </row>
    <row r="2320" spans="2:6" hidden="1">
      <c r="B2320" s="8">
        <v>2317</v>
      </c>
      <c r="C2320" s="8" t="s">
        <v>1332</v>
      </c>
      <c r="D2320" s="8" t="s">
        <v>1339</v>
      </c>
      <c r="E2320" s="83">
        <v>291000</v>
      </c>
      <c r="F2320" s="40" t="s">
        <v>1932</v>
      </c>
    </row>
    <row r="2321" spans="2:6" hidden="1">
      <c r="B2321" s="8">
        <v>2318</v>
      </c>
      <c r="C2321" s="8" t="s">
        <v>694</v>
      </c>
      <c r="D2321" s="8" t="s">
        <v>198</v>
      </c>
      <c r="E2321" s="83">
        <v>273000</v>
      </c>
      <c r="F2321" s="40" t="s">
        <v>1932</v>
      </c>
    </row>
    <row r="2322" spans="2:6" hidden="1">
      <c r="B2322" s="8">
        <v>2319</v>
      </c>
      <c r="C2322" s="8" t="s">
        <v>697</v>
      </c>
      <c r="D2322" s="8" t="s">
        <v>2104</v>
      </c>
      <c r="E2322" s="83">
        <v>285000</v>
      </c>
      <c r="F2322" s="40" t="s">
        <v>1932</v>
      </c>
    </row>
    <row r="2323" spans="2:6" hidden="1">
      <c r="B2323" s="8">
        <v>2320</v>
      </c>
      <c r="C2323" s="8" t="s">
        <v>700</v>
      </c>
      <c r="D2323" s="8" t="s">
        <v>319</v>
      </c>
      <c r="E2323" s="83">
        <v>185000</v>
      </c>
      <c r="F2323" s="40" t="s">
        <v>1932</v>
      </c>
    </row>
    <row r="2324" spans="2:6" hidden="1">
      <c r="B2324" s="8">
        <v>2321</v>
      </c>
      <c r="C2324" s="8" t="s">
        <v>701</v>
      </c>
      <c r="D2324" s="8" t="s">
        <v>2105</v>
      </c>
      <c r="E2324" s="83">
        <v>104000</v>
      </c>
      <c r="F2324" s="40" t="s">
        <v>1932</v>
      </c>
    </row>
    <row r="2325" spans="2:6" hidden="1">
      <c r="B2325" s="8">
        <v>2322</v>
      </c>
      <c r="C2325" s="8" t="s">
        <v>702</v>
      </c>
      <c r="D2325" s="8" t="s">
        <v>2106</v>
      </c>
      <c r="E2325" s="83">
        <v>414000</v>
      </c>
      <c r="F2325" s="40" t="s">
        <v>1932</v>
      </c>
    </row>
    <row r="2326" spans="2:6" hidden="1">
      <c r="B2326" s="8">
        <v>2323</v>
      </c>
      <c r="C2326" s="8" t="s">
        <v>705</v>
      </c>
      <c r="D2326" s="8" t="s">
        <v>2107</v>
      </c>
      <c r="E2326" s="83">
        <v>73000</v>
      </c>
      <c r="F2326" s="40" t="s">
        <v>1932</v>
      </c>
    </row>
    <row r="2327" spans="2:6" hidden="1">
      <c r="B2327" s="8">
        <v>2324</v>
      </c>
      <c r="C2327" s="8" t="s">
        <v>705</v>
      </c>
      <c r="D2327" s="8" t="s">
        <v>2108</v>
      </c>
      <c r="E2327" s="83">
        <v>285000</v>
      </c>
      <c r="F2327" s="40" t="s">
        <v>1932</v>
      </c>
    </row>
    <row r="2328" spans="2:6" hidden="1">
      <c r="B2328" s="8">
        <v>2325</v>
      </c>
      <c r="C2328" s="8" t="s">
        <v>1348</v>
      </c>
      <c r="D2328" s="8" t="s">
        <v>2109</v>
      </c>
      <c r="E2328" s="83">
        <v>231000</v>
      </c>
      <c r="F2328" s="40" t="s">
        <v>1932</v>
      </c>
    </row>
    <row r="2329" spans="2:6" hidden="1">
      <c r="B2329" s="8">
        <v>2326</v>
      </c>
      <c r="C2329" s="8" t="s">
        <v>1351</v>
      </c>
      <c r="D2329" s="8" t="s">
        <v>345</v>
      </c>
      <c r="E2329" s="83">
        <v>738000</v>
      </c>
      <c r="F2329" s="40" t="s">
        <v>1932</v>
      </c>
    </row>
    <row r="2330" spans="2:6" hidden="1">
      <c r="B2330" s="8">
        <v>2327</v>
      </c>
      <c r="C2330" s="8" t="s">
        <v>1351</v>
      </c>
      <c r="D2330" s="8" t="s">
        <v>217</v>
      </c>
      <c r="E2330" s="83">
        <v>1424000</v>
      </c>
      <c r="F2330" s="40" t="s">
        <v>1932</v>
      </c>
    </row>
    <row r="2331" spans="2:6" hidden="1">
      <c r="B2331" s="8">
        <v>2328</v>
      </c>
      <c r="C2331" s="8" t="s">
        <v>2110</v>
      </c>
      <c r="D2331" s="8" t="s">
        <v>345</v>
      </c>
      <c r="E2331" s="83">
        <v>1184000</v>
      </c>
      <c r="F2331" s="40" t="s">
        <v>1932</v>
      </c>
    </row>
    <row r="2332" spans="2:6" hidden="1">
      <c r="B2332" s="8">
        <v>2329</v>
      </c>
      <c r="C2332" s="8" t="s">
        <v>1353</v>
      </c>
      <c r="D2332" s="8" t="s">
        <v>767</v>
      </c>
      <c r="E2332" s="83">
        <v>129000</v>
      </c>
      <c r="F2332" s="40" t="s">
        <v>1932</v>
      </c>
    </row>
    <row r="2333" spans="2:6" hidden="1">
      <c r="B2333" s="8">
        <v>2330</v>
      </c>
      <c r="C2333" s="8" t="s">
        <v>1353</v>
      </c>
      <c r="D2333" s="8" t="s">
        <v>2111</v>
      </c>
      <c r="E2333" s="83">
        <v>81000</v>
      </c>
      <c r="F2333" s="40" t="s">
        <v>1932</v>
      </c>
    </row>
    <row r="2334" spans="2:6" hidden="1">
      <c r="B2334" s="8">
        <v>2331</v>
      </c>
      <c r="C2334" s="8" t="s">
        <v>1353</v>
      </c>
      <c r="D2334" s="8" t="s">
        <v>2112</v>
      </c>
      <c r="E2334" s="83">
        <v>339000</v>
      </c>
      <c r="F2334" s="40" t="s">
        <v>1932</v>
      </c>
    </row>
    <row r="2335" spans="2:6" hidden="1">
      <c r="B2335" s="8">
        <v>2332</v>
      </c>
      <c r="C2335" s="8" t="s">
        <v>1353</v>
      </c>
      <c r="D2335" s="8" t="s">
        <v>2113</v>
      </c>
      <c r="E2335" s="83">
        <v>482000</v>
      </c>
      <c r="F2335" s="40" t="s">
        <v>1932</v>
      </c>
    </row>
    <row r="2336" spans="2:6" hidden="1">
      <c r="B2336" s="8">
        <v>2333</v>
      </c>
      <c r="C2336" s="8" t="s">
        <v>1353</v>
      </c>
      <c r="D2336" s="8" t="s">
        <v>2114</v>
      </c>
      <c r="E2336" s="83">
        <v>461000</v>
      </c>
      <c r="F2336" s="40" t="s">
        <v>1932</v>
      </c>
    </row>
    <row r="2337" spans="2:6" hidden="1">
      <c r="B2337" s="8">
        <v>2334</v>
      </c>
      <c r="C2337" s="8" t="s">
        <v>1353</v>
      </c>
      <c r="D2337" s="8" t="s">
        <v>198</v>
      </c>
      <c r="E2337" s="83">
        <v>1466000</v>
      </c>
      <c r="F2337" s="40" t="s">
        <v>1932</v>
      </c>
    </row>
    <row r="2338" spans="2:6" hidden="1">
      <c r="B2338" s="8">
        <v>2335</v>
      </c>
      <c r="C2338" s="8" t="s">
        <v>1353</v>
      </c>
      <c r="D2338" s="8" t="s">
        <v>2115</v>
      </c>
      <c r="E2338" s="83">
        <v>5328000</v>
      </c>
      <c r="F2338" s="40" t="s">
        <v>1932</v>
      </c>
    </row>
    <row r="2339" spans="2:6" hidden="1">
      <c r="B2339" s="8">
        <v>2336</v>
      </c>
      <c r="C2339" s="8" t="s">
        <v>711</v>
      </c>
      <c r="D2339" s="8" t="s">
        <v>345</v>
      </c>
      <c r="E2339" s="83">
        <v>527000</v>
      </c>
      <c r="F2339" s="40" t="s">
        <v>1932</v>
      </c>
    </row>
    <row r="2340" spans="2:6" hidden="1">
      <c r="B2340" s="8">
        <v>2337</v>
      </c>
      <c r="C2340" s="8" t="s">
        <v>711</v>
      </c>
      <c r="D2340" s="8" t="s">
        <v>2116</v>
      </c>
      <c r="E2340" s="83">
        <v>317000</v>
      </c>
      <c r="F2340" s="40" t="s">
        <v>1932</v>
      </c>
    </row>
    <row r="2341" spans="2:6" hidden="1">
      <c r="B2341" s="8">
        <v>2338</v>
      </c>
      <c r="C2341" s="8" t="s">
        <v>716</v>
      </c>
      <c r="D2341" s="8" t="s">
        <v>2117</v>
      </c>
      <c r="E2341" s="83">
        <v>141000</v>
      </c>
      <c r="F2341" s="40" t="s">
        <v>1932</v>
      </c>
    </row>
    <row r="2342" spans="2:6" hidden="1">
      <c r="B2342" s="8">
        <v>2339</v>
      </c>
      <c r="C2342" s="8" t="s">
        <v>1354</v>
      </c>
      <c r="D2342" s="8" t="s">
        <v>699</v>
      </c>
      <c r="E2342" s="83">
        <v>197000</v>
      </c>
      <c r="F2342" s="40" t="s">
        <v>1932</v>
      </c>
    </row>
    <row r="2343" spans="2:6" hidden="1">
      <c r="B2343" s="8">
        <v>2340</v>
      </c>
      <c r="C2343" s="8" t="s">
        <v>1354</v>
      </c>
      <c r="D2343" s="8" t="s">
        <v>2118</v>
      </c>
      <c r="E2343" s="83">
        <v>61000</v>
      </c>
      <c r="F2343" s="40" t="s">
        <v>1932</v>
      </c>
    </row>
    <row r="2344" spans="2:6" hidden="1">
      <c r="B2344" s="8">
        <v>2341</v>
      </c>
      <c r="C2344" s="8" t="s">
        <v>718</v>
      </c>
      <c r="D2344" s="8" t="s">
        <v>775</v>
      </c>
      <c r="E2344" s="83">
        <v>177000</v>
      </c>
      <c r="F2344" s="40" t="s">
        <v>1932</v>
      </c>
    </row>
    <row r="2345" spans="2:6" hidden="1">
      <c r="B2345" s="8">
        <v>2342</v>
      </c>
      <c r="C2345" s="8" t="s">
        <v>722</v>
      </c>
      <c r="D2345" s="8" t="s">
        <v>2119</v>
      </c>
      <c r="E2345" s="83">
        <v>859000</v>
      </c>
      <c r="F2345" s="40" t="s">
        <v>1932</v>
      </c>
    </row>
    <row r="2346" spans="2:6" hidden="1">
      <c r="B2346" s="8">
        <v>2343</v>
      </c>
      <c r="C2346" s="8" t="s">
        <v>722</v>
      </c>
      <c r="D2346" s="8" t="s">
        <v>2120</v>
      </c>
      <c r="E2346" s="83">
        <v>563000</v>
      </c>
      <c r="F2346" s="40" t="s">
        <v>1932</v>
      </c>
    </row>
    <row r="2347" spans="2:6" hidden="1">
      <c r="B2347" s="8">
        <v>2344</v>
      </c>
      <c r="C2347" s="8" t="s">
        <v>722</v>
      </c>
      <c r="D2347" s="8" t="s">
        <v>2121</v>
      </c>
      <c r="E2347" s="83">
        <v>516000</v>
      </c>
      <c r="F2347" s="40" t="s">
        <v>1932</v>
      </c>
    </row>
    <row r="2348" spans="2:6" hidden="1">
      <c r="B2348" s="8">
        <v>2345</v>
      </c>
      <c r="C2348" s="8" t="s">
        <v>1364</v>
      </c>
      <c r="D2348" s="8" t="s">
        <v>2122</v>
      </c>
      <c r="E2348" s="83">
        <v>53000</v>
      </c>
      <c r="F2348" s="40" t="s">
        <v>1932</v>
      </c>
    </row>
    <row r="2349" spans="2:6" hidden="1">
      <c r="B2349" s="8">
        <v>2346</v>
      </c>
      <c r="C2349" s="8" t="s">
        <v>1364</v>
      </c>
      <c r="D2349" s="8" t="s">
        <v>2123</v>
      </c>
      <c r="E2349" s="83">
        <v>171000</v>
      </c>
      <c r="F2349" s="40" t="s">
        <v>1932</v>
      </c>
    </row>
    <row r="2350" spans="2:6" hidden="1">
      <c r="B2350" s="8">
        <v>2347</v>
      </c>
      <c r="C2350" s="8" t="s">
        <v>1368</v>
      </c>
      <c r="D2350" s="8" t="s">
        <v>775</v>
      </c>
      <c r="E2350" s="83">
        <v>391000</v>
      </c>
      <c r="F2350" s="40" t="s">
        <v>1932</v>
      </c>
    </row>
    <row r="2351" spans="2:6" hidden="1">
      <c r="B2351" s="8">
        <v>2348</v>
      </c>
      <c r="C2351" s="8" t="s">
        <v>1368</v>
      </c>
      <c r="D2351" s="8" t="s">
        <v>2124</v>
      </c>
      <c r="E2351" s="83">
        <v>66000</v>
      </c>
      <c r="F2351" s="40" t="s">
        <v>1932</v>
      </c>
    </row>
    <row r="2352" spans="2:6" hidden="1">
      <c r="B2352" s="8">
        <v>2349</v>
      </c>
      <c r="C2352" s="8" t="s">
        <v>738</v>
      </c>
      <c r="D2352" s="8" t="s">
        <v>2125</v>
      </c>
      <c r="E2352" s="83">
        <v>1571000</v>
      </c>
      <c r="F2352" s="40" t="s">
        <v>1932</v>
      </c>
    </row>
    <row r="2353" spans="2:6" hidden="1">
      <c r="B2353" s="8">
        <v>2350</v>
      </c>
      <c r="C2353" s="8" t="s">
        <v>738</v>
      </c>
      <c r="D2353" s="8" t="s">
        <v>1569</v>
      </c>
      <c r="E2353" s="83">
        <v>156000</v>
      </c>
      <c r="F2353" s="40" t="s">
        <v>1932</v>
      </c>
    </row>
    <row r="2354" spans="2:6" hidden="1">
      <c r="B2354" s="8">
        <v>2351</v>
      </c>
      <c r="C2354" s="8" t="s">
        <v>2126</v>
      </c>
      <c r="D2354" s="8" t="s">
        <v>211</v>
      </c>
      <c r="E2354" s="83">
        <v>84000</v>
      </c>
      <c r="F2354" s="40" t="s">
        <v>1932</v>
      </c>
    </row>
    <row r="2355" spans="2:6" hidden="1">
      <c r="B2355" s="8">
        <v>2352</v>
      </c>
      <c r="C2355" s="8" t="s">
        <v>2126</v>
      </c>
      <c r="D2355" s="8" t="s">
        <v>2127</v>
      </c>
      <c r="E2355" s="83">
        <v>157000</v>
      </c>
      <c r="F2355" s="40" t="s">
        <v>1932</v>
      </c>
    </row>
    <row r="2356" spans="2:6" hidden="1">
      <c r="B2356" s="8">
        <v>2353</v>
      </c>
      <c r="C2356" s="8" t="s">
        <v>740</v>
      </c>
      <c r="D2356" s="8" t="s">
        <v>640</v>
      </c>
      <c r="E2356" s="83">
        <v>839000</v>
      </c>
      <c r="F2356" s="40" t="s">
        <v>1932</v>
      </c>
    </row>
    <row r="2357" spans="2:6" hidden="1">
      <c r="B2357" s="8">
        <v>2354</v>
      </c>
      <c r="C2357" s="8" t="s">
        <v>1745</v>
      </c>
      <c r="D2357" s="8" t="s">
        <v>2128</v>
      </c>
      <c r="E2357" s="83">
        <v>780000</v>
      </c>
      <c r="F2357" s="40" t="s">
        <v>1932</v>
      </c>
    </row>
    <row r="2358" spans="2:6" hidden="1">
      <c r="B2358" s="8">
        <v>2355</v>
      </c>
      <c r="C2358" s="8" t="s">
        <v>741</v>
      </c>
      <c r="D2358" s="8" t="s">
        <v>1294</v>
      </c>
      <c r="E2358" s="83">
        <v>484000</v>
      </c>
      <c r="F2358" s="40" t="s">
        <v>1932</v>
      </c>
    </row>
    <row r="2359" spans="2:6" hidden="1">
      <c r="B2359" s="8">
        <v>2356</v>
      </c>
      <c r="C2359" s="8" t="s">
        <v>741</v>
      </c>
      <c r="D2359" s="8" t="s">
        <v>2129</v>
      </c>
      <c r="E2359" s="83">
        <v>154000</v>
      </c>
      <c r="F2359" s="40" t="s">
        <v>1932</v>
      </c>
    </row>
    <row r="2360" spans="2:6" hidden="1">
      <c r="B2360" s="8">
        <v>2357</v>
      </c>
      <c r="C2360" s="8" t="s">
        <v>1375</v>
      </c>
      <c r="D2360" s="8" t="s">
        <v>2130</v>
      </c>
      <c r="E2360" s="83">
        <v>818000</v>
      </c>
      <c r="F2360" s="40" t="s">
        <v>1932</v>
      </c>
    </row>
    <row r="2361" spans="2:6" hidden="1">
      <c r="B2361" s="8">
        <v>2358</v>
      </c>
      <c r="C2361" s="8" t="s">
        <v>761</v>
      </c>
      <c r="D2361" s="8" t="s">
        <v>659</v>
      </c>
      <c r="E2361" s="83">
        <v>432000</v>
      </c>
      <c r="F2361" s="40" t="s">
        <v>1932</v>
      </c>
    </row>
    <row r="2362" spans="2:6" hidden="1">
      <c r="B2362" s="8">
        <v>2359</v>
      </c>
      <c r="C2362" s="8" t="s">
        <v>762</v>
      </c>
      <c r="D2362" s="8" t="s">
        <v>1127</v>
      </c>
      <c r="E2362" s="83">
        <v>11000</v>
      </c>
      <c r="F2362" s="40" t="s">
        <v>1932</v>
      </c>
    </row>
    <row r="2363" spans="2:6" hidden="1">
      <c r="B2363" s="8">
        <v>2360</v>
      </c>
      <c r="C2363" s="8" t="s">
        <v>762</v>
      </c>
      <c r="D2363" s="8" t="s">
        <v>317</v>
      </c>
      <c r="E2363" s="83">
        <v>177000</v>
      </c>
      <c r="F2363" s="40" t="s">
        <v>1932</v>
      </c>
    </row>
    <row r="2364" spans="2:6" hidden="1">
      <c r="B2364" s="8">
        <v>2361</v>
      </c>
      <c r="C2364" s="8" t="s">
        <v>762</v>
      </c>
      <c r="D2364" s="8" t="s">
        <v>211</v>
      </c>
      <c r="E2364" s="83">
        <v>220000</v>
      </c>
      <c r="F2364" s="40" t="s">
        <v>1932</v>
      </c>
    </row>
    <row r="2365" spans="2:6" hidden="1">
      <c r="B2365" s="8">
        <v>2362</v>
      </c>
      <c r="C2365" s="8" t="s">
        <v>763</v>
      </c>
      <c r="D2365" s="8" t="s">
        <v>217</v>
      </c>
      <c r="E2365" s="83">
        <v>2891000</v>
      </c>
      <c r="F2365" s="40" t="s">
        <v>1932</v>
      </c>
    </row>
    <row r="2366" spans="2:6" hidden="1">
      <c r="B2366" s="8">
        <v>2363</v>
      </c>
      <c r="C2366" s="8" t="s">
        <v>763</v>
      </c>
      <c r="D2366" s="8" t="s">
        <v>2131</v>
      </c>
      <c r="E2366" s="83">
        <v>634000</v>
      </c>
      <c r="F2366" s="40" t="s">
        <v>1932</v>
      </c>
    </row>
    <row r="2367" spans="2:6" hidden="1">
      <c r="B2367" s="8">
        <v>2364</v>
      </c>
      <c r="C2367" s="8" t="s">
        <v>771</v>
      </c>
      <c r="D2367" s="8" t="s">
        <v>2132</v>
      </c>
      <c r="E2367" s="83">
        <v>125000</v>
      </c>
      <c r="F2367" s="40" t="s">
        <v>1932</v>
      </c>
    </row>
    <row r="2368" spans="2:6" hidden="1">
      <c r="B2368" s="8">
        <v>2365</v>
      </c>
      <c r="C2368" s="8" t="s">
        <v>771</v>
      </c>
      <c r="D2368" s="8" t="s">
        <v>452</v>
      </c>
      <c r="E2368" s="83">
        <v>815000</v>
      </c>
      <c r="F2368" s="40" t="s">
        <v>1932</v>
      </c>
    </row>
    <row r="2369" spans="2:6" hidden="1">
      <c r="B2369" s="8">
        <v>2366</v>
      </c>
      <c r="C2369" s="8" t="s">
        <v>771</v>
      </c>
      <c r="D2369" s="8" t="s">
        <v>339</v>
      </c>
      <c r="E2369" s="83">
        <v>111000</v>
      </c>
      <c r="F2369" s="40" t="s">
        <v>1932</v>
      </c>
    </row>
    <row r="2370" spans="2:6" hidden="1">
      <c r="B2370" s="8">
        <v>2367</v>
      </c>
      <c r="C2370" s="8" t="s">
        <v>1758</v>
      </c>
      <c r="D2370" s="8" t="s">
        <v>2133</v>
      </c>
      <c r="E2370" s="83">
        <v>53000</v>
      </c>
      <c r="F2370" s="40" t="s">
        <v>1932</v>
      </c>
    </row>
    <row r="2371" spans="2:6" hidden="1">
      <c r="B2371" s="8">
        <v>2368</v>
      </c>
      <c r="C2371" s="8" t="s">
        <v>1758</v>
      </c>
      <c r="D2371" s="8" t="s">
        <v>2134</v>
      </c>
      <c r="E2371" s="83">
        <v>543000</v>
      </c>
      <c r="F2371" s="40" t="s">
        <v>1932</v>
      </c>
    </row>
    <row r="2372" spans="2:6" hidden="1">
      <c r="B2372" s="8">
        <v>2369</v>
      </c>
      <c r="C2372" s="8" t="s">
        <v>1758</v>
      </c>
      <c r="D2372" s="8" t="s">
        <v>2135</v>
      </c>
      <c r="E2372" s="83">
        <v>333000</v>
      </c>
      <c r="F2372" s="40" t="s">
        <v>1932</v>
      </c>
    </row>
    <row r="2373" spans="2:6" hidden="1">
      <c r="B2373" s="8">
        <v>2370</v>
      </c>
      <c r="C2373" s="8" t="s">
        <v>1758</v>
      </c>
      <c r="D2373" s="8" t="s">
        <v>2136</v>
      </c>
      <c r="E2373" s="83">
        <v>87000</v>
      </c>
      <c r="F2373" s="40" t="s">
        <v>1932</v>
      </c>
    </row>
    <row r="2374" spans="2:6" hidden="1">
      <c r="B2374" s="8">
        <v>2371</v>
      </c>
      <c r="C2374" s="8" t="s">
        <v>773</v>
      </c>
      <c r="D2374" s="8" t="s">
        <v>640</v>
      </c>
      <c r="E2374" s="83">
        <v>1185000</v>
      </c>
      <c r="F2374" s="40" t="s">
        <v>1932</v>
      </c>
    </row>
    <row r="2375" spans="2:6" hidden="1">
      <c r="B2375" s="8">
        <v>2372</v>
      </c>
      <c r="C2375" s="8" t="s">
        <v>1385</v>
      </c>
      <c r="D2375" s="8" t="s">
        <v>398</v>
      </c>
      <c r="E2375" s="83">
        <v>110000</v>
      </c>
      <c r="F2375" s="40" t="s">
        <v>1932</v>
      </c>
    </row>
    <row r="2376" spans="2:6" hidden="1">
      <c r="B2376" s="8">
        <v>2373</v>
      </c>
      <c r="C2376" s="8" t="s">
        <v>777</v>
      </c>
      <c r="D2376" s="8" t="s">
        <v>2137</v>
      </c>
      <c r="E2376" s="83">
        <v>90000</v>
      </c>
      <c r="F2376" s="40" t="s">
        <v>1932</v>
      </c>
    </row>
    <row r="2377" spans="2:6" hidden="1">
      <c r="B2377" s="8">
        <v>2374</v>
      </c>
      <c r="C2377" s="8" t="s">
        <v>2138</v>
      </c>
      <c r="D2377" s="8" t="s">
        <v>2139</v>
      </c>
      <c r="E2377" s="83">
        <v>53000</v>
      </c>
      <c r="F2377" s="40" t="s">
        <v>1932</v>
      </c>
    </row>
    <row r="2378" spans="2:6" hidden="1">
      <c r="B2378" s="8">
        <v>2375</v>
      </c>
      <c r="C2378" s="8" t="s">
        <v>2138</v>
      </c>
      <c r="D2378" s="8" t="s">
        <v>2140</v>
      </c>
      <c r="E2378" s="83">
        <v>62000</v>
      </c>
      <c r="F2378" s="40" t="s">
        <v>1932</v>
      </c>
    </row>
    <row r="2379" spans="2:6" hidden="1">
      <c r="B2379" s="8">
        <v>2376</v>
      </c>
      <c r="C2379" s="8" t="s">
        <v>781</v>
      </c>
      <c r="D2379" s="8" t="s">
        <v>2141</v>
      </c>
      <c r="E2379" s="83">
        <v>104000</v>
      </c>
      <c r="F2379" s="40" t="s">
        <v>1932</v>
      </c>
    </row>
    <row r="2380" spans="2:6" hidden="1">
      <c r="B2380" s="8">
        <v>2377</v>
      </c>
      <c r="C2380" s="8" t="s">
        <v>1394</v>
      </c>
      <c r="D2380" s="8" t="s">
        <v>211</v>
      </c>
      <c r="E2380" s="83">
        <v>234000</v>
      </c>
      <c r="F2380" s="40" t="s">
        <v>1932</v>
      </c>
    </row>
    <row r="2381" spans="2:6" hidden="1">
      <c r="B2381" s="8">
        <v>2378</v>
      </c>
      <c r="C2381" s="8" t="s">
        <v>1394</v>
      </c>
      <c r="D2381" s="8" t="s">
        <v>2142</v>
      </c>
      <c r="E2381" s="83">
        <v>677000</v>
      </c>
      <c r="F2381" s="40" t="s">
        <v>1932</v>
      </c>
    </row>
    <row r="2382" spans="2:6" hidden="1">
      <c r="B2382" s="8">
        <v>2379</v>
      </c>
      <c r="C2382" s="8" t="s">
        <v>786</v>
      </c>
      <c r="D2382" s="8" t="s">
        <v>198</v>
      </c>
      <c r="E2382" s="83">
        <v>509000</v>
      </c>
      <c r="F2382" s="40" t="s">
        <v>1932</v>
      </c>
    </row>
    <row r="2383" spans="2:6" hidden="1">
      <c r="B2383" s="8">
        <v>2380</v>
      </c>
      <c r="C2383" s="8" t="s">
        <v>786</v>
      </c>
      <c r="D2383" s="8" t="s">
        <v>2143</v>
      </c>
      <c r="E2383" s="83">
        <v>263000</v>
      </c>
      <c r="F2383" s="40" t="s">
        <v>1932</v>
      </c>
    </row>
    <row r="2384" spans="2:6" hidden="1">
      <c r="B2384" s="8">
        <v>2381</v>
      </c>
      <c r="C2384" s="8" t="s">
        <v>786</v>
      </c>
      <c r="D2384" s="8" t="s">
        <v>2144</v>
      </c>
      <c r="E2384" s="83">
        <v>930000</v>
      </c>
      <c r="F2384" s="40" t="s">
        <v>1932</v>
      </c>
    </row>
    <row r="2385" spans="2:6" hidden="1">
      <c r="B2385" s="8">
        <v>2382</v>
      </c>
      <c r="C2385" s="8" t="s">
        <v>1765</v>
      </c>
      <c r="D2385" s="8" t="s">
        <v>2145</v>
      </c>
      <c r="E2385" s="83">
        <v>553000</v>
      </c>
      <c r="F2385" s="40" t="s">
        <v>1932</v>
      </c>
    </row>
    <row r="2386" spans="2:6" hidden="1">
      <c r="B2386" s="8">
        <v>2383</v>
      </c>
      <c r="C2386" s="8" t="s">
        <v>1771</v>
      </c>
      <c r="D2386" s="8" t="s">
        <v>317</v>
      </c>
      <c r="E2386" s="83">
        <v>183000</v>
      </c>
      <c r="F2386" s="40" t="s">
        <v>1932</v>
      </c>
    </row>
    <row r="2387" spans="2:6" hidden="1">
      <c r="B2387" s="8">
        <v>2384</v>
      </c>
      <c r="C2387" s="8" t="s">
        <v>1771</v>
      </c>
      <c r="D2387" s="8" t="s">
        <v>198</v>
      </c>
      <c r="E2387" s="83">
        <v>476000</v>
      </c>
      <c r="F2387" s="40" t="s">
        <v>1932</v>
      </c>
    </row>
    <row r="2388" spans="2:6" hidden="1">
      <c r="B2388" s="8">
        <v>2385</v>
      </c>
      <c r="C2388" s="8" t="s">
        <v>796</v>
      </c>
      <c r="D2388" s="8" t="s">
        <v>236</v>
      </c>
      <c r="E2388" s="83">
        <v>518000</v>
      </c>
      <c r="F2388" s="40" t="s">
        <v>1932</v>
      </c>
    </row>
    <row r="2389" spans="2:6" hidden="1">
      <c r="B2389" s="8">
        <v>2386</v>
      </c>
      <c r="C2389" s="8" t="s">
        <v>799</v>
      </c>
      <c r="D2389" s="8" t="s">
        <v>2146</v>
      </c>
      <c r="E2389" s="83">
        <v>488000</v>
      </c>
      <c r="F2389" s="40" t="s">
        <v>1932</v>
      </c>
    </row>
    <row r="2390" spans="2:6" hidden="1">
      <c r="B2390" s="8">
        <v>2387</v>
      </c>
      <c r="C2390" s="8" t="s">
        <v>1399</v>
      </c>
      <c r="D2390" s="8" t="s">
        <v>688</v>
      </c>
      <c r="E2390" s="83">
        <v>878000</v>
      </c>
      <c r="F2390" s="40" t="s">
        <v>1932</v>
      </c>
    </row>
    <row r="2391" spans="2:6" hidden="1">
      <c r="B2391" s="8">
        <v>2388</v>
      </c>
      <c r="C2391" s="8" t="s">
        <v>801</v>
      </c>
      <c r="D2391" s="8" t="s">
        <v>2147</v>
      </c>
      <c r="E2391" s="83">
        <v>217000</v>
      </c>
      <c r="F2391" s="40" t="s">
        <v>1932</v>
      </c>
    </row>
    <row r="2392" spans="2:6" hidden="1">
      <c r="B2392" s="8">
        <v>2389</v>
      </c>
      <c r="C2392" s="8" t="s">
        <v>801</v>
      </c>
      <c r="D2392" s="8" t="s">
        <v>500</v>
      </c>
      <c r="E2392" s="83">
        <v>157000</v>
      </c>
      <c r="F2392" s="40" t="s">
        <v>1932</v>
      </c>
    </row>
    <row r="2393" spans="2:6" hidden="1">
      <c r="B2393" s="8">
        <v>2390</v>
      </c>
      <c r="C2393" s="8" t="s">
        <v>1401</v>
      </c>
      <c r="D2393" s="8" t="s">
        <v>317</v>
      </c>
      <c r="E2393" s="83">
        <v>244000</v>
      </c>
      <c r="F2393" s="40" t="s">
        <v>1932</v>
      </c>
    </row>
    <row r="2394" spans="2:6" hidden="1">
      <c r="B2394" s="8">
        <v>2391</v>
      </c>
      <c r="C2394" s="8" t="s">
        <v>806</v>
      </c>
      <c r="D2394" s="8" t="s">
        <v>2148</v>
      </c>
      <c r="E2394" s="83">
        <v>1071000</v>
      </c>
      <c r="F2394" s="40" t="s">
        <v>1932</v>
      </c>
    </row>
    <row r="2395" spans="2:6" hidden="1">
      <c r="B2395" s="8">
        <v>2392</v>
      </c>
      <c r="C2395" s="8" t="s">
        <v>810</v>
      </c>
      <c r="D2395" s="8" t="s">
        <v>381</v>
      </c>
      <c r="E2395" s="83">
        <v>500000</v>
      </c>
      <c r="F2395" s="40" t="s">
        <v>1932</v>
      </c>
    </row>
    <row r="2396" spans="2:6" hidden="1">
      <c r="B2396" s="8">
        <v>2393</v>
      </c>
      <c r="C2396" s="8" t="s">
        <v>812</v>
      </c>
      <c r="D2396" s="8" t="s">
        <v>198</v>
      </c>
      <c r="E2396" s="83">
        <v>561000</v>
      </c>
      <c r="F2396" s="40" t="s">
        <v>1932</v>
      </c>
    </row>
    <row r="2397" spans="2:6" hidden="1">
      <c r="B2397" s="8">
        <v>2394</v>
      </c>
      <c r="C2397" s="8" t="s">
        <v>812</v>
      </c>
      <c r="D2397" s="8" t="s">
        <v>2149</v>
      </c>
      <c r="E2397" s="83">
        <v>511000</v>
      </c>
      <c r="F2397" s="40" t="s">
        <v>1932</v>
      </c>
    </row>
    <row r="2398" spans="2:6" hidden="1">
      <c r="B2398" s="8">
        <v>2395</v>
      </c>
      <c r="C2398" s="8" t="s">
        <v>815</v>
      </c>
      <c r="D2398" s="8" t="s">
        <v>198</v>
      </c>
      <c r="E2398" s="83">
        <v>965000</v>
      </c>
      <c r="F2398" s="40" t="s">
        <v>1932</v>
      </c>
    </row>
    <row r="2399" spans="2:6" hidden="1">
      <c r="B2399" s="8">
        <v>2396</v>
      </c>
      <c r="C2399" s="8" t="s">
        <v>2150</v>
      </c>
      <c r="D2399" s="8" t="s">
        <v>838</v>
      </c>
      <c r="E2399" s="83">
        <v>90000</v>
      </c>
      <c r="F2399" s="40" t="s">
        <v>1932</v>
      </c>
    </row>
    <row r="2400" spans="2:6" hidden="1">
      <c r="B2400" s="8">
        <v>2397</v>
      </c>
      <c r="C2400" s="8" t="s">
        <v>817</v>
      </c>
      <c r="D2400" s="8" t="s">
        <v>1864</v>
      </c>
      <c r="E2400" s="83">
        <v>97000</v>
      </c>
      <c r="F2400" s="40" t="s">
        <v>1932</v>
      </c>
    </row>
    <row r="2401" spans="2:6" hidden="1">
      <c r="B2401" s="8">
        <v>2398</v>
      </c>
      <c r="C2401" s="8" t="s">
        <v>817</v>
      </c>
      <c r="D2401" s="8" t="s">
        <v>688</v>
      </c>
      <c r="E2401" s="83">
        <v>663000</v>
      </c>
      <c r="F2401" s="40" t="s">
        <v>1932</v>
      </c>
    </row>
    <row r="2402" spans="2:6" hidden="1">
      <c r="B2402" s="8">
        <v>2399</v>
      </c>
      <c r="C2402" s="8" t="s">
        <v>820</v>
      </c>
      <c r="D2402" s="8" t="s">
        <v>2151</v>
      </c>
      <c r="E2402" s="83">
        <v>419000</v>
      </c>
      <c r="F2402" s="40" t="s">
        <v>1932</v>
      </c>
    </row>
    <row r="2403" spans="2:6" hidden="1">
      <c r="B2403" s="8">
        <v>2400</v>
      </c>
      <c r="C2403" s="8" t="s">
        <v>820</v>
      </c>
      <c r="D2403" s="8" t="s">
        <v>2152</v>
      </c>
      <c r="E2403" s="83">
        <v>123000</v>
      </c>
      <c r="F2403" s="40" t="s">
        <v>1932</v>
      </c>
    </row>
    <row r="2404" spans="2:6" hidden="1">
      <c r="B2404" s="8">
        <v>2401</v>
      </c>
      <c r="C2404" s="8" t="s">
        <v>821</v>
      </c>
      <c r="D2404" s="8" t="s">
        <v>198</v>
      </c>
      <c r="E2404" s="83">
        <v>1592000</v>
      </c>
      <c r="F2404" s="40" t="s">
        <v>1932</v>
      </c>
    </row>
    <row r="2405" spans="2:6" hidden="1">
      <c r="B2405" s="8">
        <v>2402</v>
      </c>
      <c r="C2405" s="8" t="s">
        <v>821</v>
      </c>
      <c r="D2405" s="8" t="s">
        <v>198</v>
      </c>
      <c r="E2405" s="83">
        <v>2933000</v>
      </c>
      <c r="F2405" s="40" t="s">
        <v>1932</v>
      </c>
    </row>
    <row r="2406" spans="2:6" hidden="1">
      <c r="B2406" s="8">
        <v>2403</v>
      </c>
      <c r="C2406" s="8" t="s">
        <v>821</v>
      </c>
      <c r="D2406" s="8" t="s">
        <v>199</v>
      </c>
      <c r="E2406" s="83">
        <v>420000</v>
      </c>
      <c r="F2406" s="40" t="s">
        <v>1932</v>
      </c>
    </row>
    <row r="2407" spans="2:6" hidden="1">
      <c r="B2407" s="8">
        <v>2404</v>
      </c>
      <c r="C2407" s="8" t="s">
        <v>821</v>
      </c>
      <c r="D2407" s="8" t="s">
        <v>198</v>
      </c>
      <c r="E2407" s="83">
        <v>1634000</v>
      </c>
      <c r="F2407" s="40" t="s">
        <v>1932</v>
      </c>
    </row>
    <row r="2408" spans="2:6" hidden="1">
      <c r="B2408" s="8">
        <v>2405</v>
      </c>
      <c r="C2408" s="8" t="s">
        <v>826</v>
      </c>
      <c r="D2408" s="8" t="s">
        <v>500</v>
      </c>
      <c r="E2408" s="83">
        <v>268000</v>
      </c>
      <c r="F2408" s="40" t="s">
        <v>1932</v>
      </c>
    </row>
    <row r="2409" spans="2:6" hidden="1">
      <c r="B2409" s="8">
        <v>2406</v>
      </c>
      <c r="C2409" s="8" t="s">
        <v>1414</v>
      </c>
      <c r="D2409" s="8" t="s">
        <v>1569</v>
      </c>
      <c r="E2409" s="83">
        <v>296000</v>
      </c>
      <c r="F2409" s="40" t="s">
        <v>1932</v>
      </c>
    </row>
    <row r="2410" spans="2:6" hidden="1">
      <c r="B2410" s="8">
        <v>2407</v>
      </c>
      <c r="C2410" s="8" t="s">
        <v>827</v>
      </c>
      <c r="D2410" s="8" t="s">
        <v>2153</v>
      </c>
      <c r="E2410" s="83">
        <v>269000</v>
      </c>
      <c r="F2410" s="40" t="s">
        <v>1932</v>
      </c>
    </row>
    <row r="2411" spans="2:6" hidden="1">
      <c r="B2411" s="8">
        <v>2408</v>
      </c>
      <c r="C2411" s="8" t="s">
        <v>831</v>
      </c>
      <c r="D2411" s="8" t="s">
        <v>2154</v>
      </c>
      <c r="E2411" s="83">
        <v>154000</v>
      </c>
      <c r="F2411" s="40" t="s">
        <v>1932</v>
      </c>
    </row>
    <row r="2412" spans="2:6" hidden="1">
      <c r="B2412" s="8">
        <v>2409</v>
      </c>
      <c r="C2412" s="8" t="s">
        <v>831</v>
      </c>
      <c r="D2412" s="8" t="s">
        <v>640</v>
      </c>
      <c r="E2412" s="83">
        <v>495000</v>
      </c>
      <c r="F2412" s="40" t="s">
        <v>1932</v>
      </c>
    </row>
    <row r="2413" spans="2:6" hidden="1">
      <c r="B2413" s="8">
        <v>2410</v>
      </c>
      <c r="C2413" s="8" t="s">
        <v>831</v>
      </c>
      <c r="D2413" s="8" t="s">
        <v>2034</v>
      </c>
      <c r="E2413" s="83">
        <v>61000</v>
      </c>
      <c r="F2413" s="40" t="s">
        <v>1932</v>
      </c>
    </row>
    <row r="2414" spans="2:6" hidden="1">
      <c r="B2414" s="8">
        <v>2411</v>
      </c>
      <c r="C2414" s="8" t="s">
        <v>831</v>
      </c>
      <c r="D2414" s="8" t="s">
        <v>2155</v>
      </c>
      <c r="E2414" s="83">
        <v>195000</v>
      </c>
      <c r="F2414" s="40" t="s">
        <v>1932</v>
      </c>
    </row>
    <row r="2415" spans="2:6" hidden="1">
      <c r="B2415" s="8">
        <v>2412</v>
      </c>
      <c r="C2415" s="8" t="s">
        <v>1425</v>
      </c>
      <c r="D2415" s="8" t="s">
        <v>1010</v>
      </c>
      <c r="E2415" s="83">
        <v>127000</v>
      </c>
      <c r="F2415" s="40" t="s">
        <v>1932</v>
      </c>
    </row>
    <row r="2416" spans="2:6" hidden="1">
      <c r="B2416" s="8">
        <v>2413</v>
      </c>
      <c r="C2416" s="8" t="s">
        <v>835</v>
      </c>
      <c r="D2416" s="8" t="s">
        <v>640</v>
      </c>
      <c r="E2416" s="83">
        <v>203000</v>
      </c>
      <c r="F2416" s="40" t="s">
        <v>1932</v>
      </c>
    </row>
    <row r="2417" spans="2:6" hidden="1">
      <c r="B2417" s="8">
        <v>2414</v>
      </c>
      <c r="C2417" s="8" t="s">
        <v>835</v>
      </c>
      <c r="D2417" s="8" t="s">
        <v>345</v>
      </c>
      <c r="E2417" s="83">
        <v>757000</v>
      </c>
      <c r="F2417" s="40" t="s">
        <v>1932</v>
      </c>
    </row>
    <row r="2418" spans="2:6" hidden="1">
      <c r="B2418" s="8">
        <v>2415</v>
      </c>
      <c r="C2418" s="8" t="s">
        <v>1428</v>
      </c>
      <c r="D2418" s="8" t="s">
        <v>319</v>
      </c>
      <c r="E2418" s="83">
        <v>226000</v>
      </c>
      <c r="F2418" s="40" t="s">
        <v>1932</v>
      </c>
    </row>
    <row r="2419" spans="2:6" hidden="1">
      <c r="B2419" s="8">
        <v>2416</v>
      </c>
      <c r="C2419" s="8" t="s">
        <v>837</v>
      </c>
      <c r="D2419" s="8" t="s">
        <v>339</v>
      </c>
      <c r="E2419" s="83">
        <v>210000</v>
      </c>
      <c r="F2419" s="40" t="s">
        <v>1932</v>
      </c>
    </row>
    <row r="2420" spans="2:6" hidden="1">
      <c r="B2420" s="8">
        <v>2417</v>
      </c>
      <c r="C2420" s="8" t="s">
        <v>837</v>
      </c>
      <c r="D2420" s="8" t="s">
        <v>2156</v>
      </c>
      <c r="E2420" s="83">
        <v>199000</v>
      </c>
      <c r="F2420" s="40" t="s">
        <v>1932</v>
      </c>
    </row>
    <row r="2421" spans="2:6" hidden="1">
      <c r="B2421" s="8">
        <v>2418</v>
      </c>
      <c r="C2421" s="8" t="s">
        <v>839</v>
      </c>
      <c r="D2421" s="8" t="s">
        <v>1232</v>
      </c>
      <c r="E2421" s="83">
        <v>531000</v>
      </c>
      <c r="F2421" s="40" t="s">
        <v>1932</v>
      </c>
    </row>
    <row r="2422" spans="2:6" hidden="1">
      <c r="B2422" s="8">
        <v>2419</v>
      </c>
      <c r="C2422" s="8" t="s">
        <v>842</v>
      </c>
      <c r="D2422" s="8" t="s">
        <v>1970</v>
      </c>
      <c r="E2422" s="83">
        <v>304000</v>
      </c>
      <c r="F2422" s="40" t="s">
        <v>1932</v>
      </c>
    </row>
    <row r="2423" spans="2:6" hidden="1">
      <c r="B2423" s="8">
        <v>2420</v>
      </c>
      <c r="C2423" s="8" t="s">
        <v>845</v>
      </c>
      <c r="D2423" s="8" t="s">
        <v>319</v>
      </c>
      <c r="E2423" s="83">
        <v>185000</v>
      </c>
      <c r="F2423" s="40" t="s">
        <v>1932</v>
      </c>
    </row>
    <row r="2424" spans="2:6" hidden="1">
      <c r="B2424" s="8">
        <v>2421</v>
      </c>
      <c r="C2424" s="8" t="s">
        <v>846</v>
      </c>
      <c r="D2424" s="8" t="s">
        <v>2157</v>
      </c>
      <c r="E2424" s="83">
        <v>53000</v>
      </c>
      <c r="F2424" s="40" t="s">
        <v>1932</v>
      </c>
    </row>
    <row r="2425" spans="2:6" hidden="1">
      <c r="B2425" s="8">
        <v>2422</v>
      </c>
      <c r="C2425" s="8" t="s">
        <v>846</v>
      </c>
      <c r="D2425" s="8" t="s">
        <v>375</v>
      </c>
      <c r="E2425" s="83">
        <v>309000</v>
      </c>
      <c r="F2425" s="40" t="s">
        <v>1932</v>
      </c>
    </row>
    <row r="2426" spans="2:6" hidden="1">
      <c r="B2426" s="8">
        <v>2423</v>
      </c>
      <c r="C2426" s="8" t="s">
        <v>1432</v>
      </c>
      <c r="D2426" s="8" t="s">
        <v>217</v>
      </c>
      <c r="E2426" s="83">
        <v>77000</v>
      </c>
      <c r="F2426" s="40" t="s">
        <v>1932</v>
      </c>
    </row>
    <row r="2427" spans="2:6" hidden="1">
      <c r="B2427" s="8">
        <v>2424</v>
      </c>
      <c r="C2427" s="8" t="s">
        <v>1432</v>
      </c>
      <c r="D2427" s="8" t="s">
        <v>2158</v>
      </c>
      <c r="E2427" s="83">
        <v>99000</v>
      </c>
      <c r="F2427" s="40" t="s">
        <v>1932</v>
      </c>
    </row>
    <row r="2428" spans="2:6" hidden="1">
      <c r="B2428" s="8">
        <v>2425</v>
      </c>
      <c r="C2428" s="8" t="s">
        <v>1434</v>
      </c>
      <c r="D2428" s="8" t="s">
        <v>2016</v>
      </c>
      <c r="E2428" s="83">
        <v>496000</v>
      </c>
      <c r="F2428" s="40" t="s">
        <v>1932</v>
      </c>
    </row>
    <row r="2429" spans="2:6" hidden="1">
      <c r="B2429" s="8">
        <v>2426</v>
      </c>
      <c r="C2429" s="8" t="s">
        <v>852</v>
      </c>
      <c r="D2429" s="8" t="s">
        <v>2159</v>
      </c>
      <c r="E2429" s="83">
        <v>763000</v>
      </c>
      <c r="F2429" s="40" t="s">
        <v>1932</v>
      </c>
    </row>
    <row r="2430" spans="2:6" hidden="1">
      <c r="B2430" s="8">
        <v>2427</v>
      </c>
      <c r="C2430" s="8" t="s">
        <v>856</v>
      </c>
      <c r="D2430" s="8" t="s">
        <v>2160</v>
      </c>
      <c r="E2430" s="83">
        <v>109000</v>
      </c>
      <c r="F2430" s="40" t="s">
        <v>1932</v>
      </c>
    </row>
    <row r="2431" spans="2:6" hidden="1">
      <c r="B2431" s="8">
        <v>2428</v>
      </c>
      <c r="C2431" s="8" t="s">
        <v>860</v>
      </c>
      <c r="D2431" s="8" t="s">
        <v>699</v>
      </c>
      <c r="E2431" s="83">
        <v>166000</v>
      </c>
      <c r="F2431" s="40" t="s">
        <v>1932</v>
      </c>
    </row>
    <row r="2432" spans="2:6" hidden="1">
      <c r="B2432" s="8">
        <v>2429</v>
      </c>
      <c r="C2432" s="8" t="s">
        <v>860</v>
      </c>
      <c r="D2432" s="8" t="s">
        <v>2161</v>
      </c>
      <c r="E2432" s="83">
        <v>189000</v>
      </c>
      <c r="F2432" s="40" t="s">
        <v>1932</v>
      </c>
    </row>
    <row r="2433" spans="2:6" hidden="1">
      <c r="B2433" s="8">
        <v>2430</v>
      </c>
      <c r="C2433" s="8" t="s">
        <v>1796</v>
      </c>
      <c r="D2433" s="8" t="s">
        <v>2162</v>
      </c>
      <c r="E2433" s="83">
        <v>850000</v>
      </c>
      <c r="F2433" s="40" t="s">
        <v>1932</v>
      </c>
    </row>
    <row r="2434" spans="2:6" hidden="1">
      <c r="B2434" s="8">
        <v>2431</v>
      </c>
      <c r="C2434" s="8" t="s">
        <v>2163</v>
      </c>
      <c r="D2434" s="8" t="s">
        <v>838</v>
      </c>
      <c r="E2434" s="83">
        <v>142000</v>
      </c>
      <c r="F2434" s="40" t="s">
        <v>1932</v>
      </c>
    </row>
    <row r="2435" spans="2:6" hidden="1">
      <c r="B2435" s="8">
        <v>2432</v>
      </c>
      <c r="C2435" s="8" t="s">
        <v>863</v>
      </c>
      <c r="D2435" s="8" t="s">
        <v>640</v>
      </c>
      <c r="E2435" s="83">
        <v>473000</v>
      </c>
      <c r="F2435" s="40" t="s">
        <v>1932</v>
      </c>
    </row>
    <row r="2436" spans="2:6" hidden="1">
      <c r="B2436" s="8">
        <v>2433</v>
      </c>
      <c r="C2436" s="8" t="s">
        <v>2164</v>
      </c>
      <c r="D2436" s="8" t="s">
        <v>924</v>
      </c>
      <c r="E2436" s="83">
        <v>164000</v>
      </c>
      <c r="F2436" s="40" t="s">
        <v>1932</v>
      </c>
    </row>
    <row r="2437" spans="2:6" hidden="1">
      <c r="B2437" s="8">
        <v>2434</v>
      </c>
      <c r="C2437" s="8" t="s">
        <v>2164</v>
      </c>
      <c r="D2437" s="8" t="s">
        <v>640</v>
      </c>
      <c r="E2437" s="83">
        <v>169000</v>
      </c>
      <c r="F2437" s="40" t="s">
        <v>1932</v>
      </c>
    </row>
    <row r="2438" spans="2:6" hidden="1">
      <c r="B2438" s="8">
        <v>2435</v>
      </c>
      <c r="C2438" s="8" t="s">
        <v>1441</v>
      </c>
      <c r="D2438" s="8" t="s">
        <v>211</v>
      </c>
      <c r="E2438" s="83">
        <v>290000</v>
      </c>
      <c r="F2438" s="40" t="s">
        <v>1932</v>
      </c>
    </row>
    <row r="2439" spans="2:6" hidden="1">
      <c r="B2439" s="8">
        <v>2436</v>
      </c>
      <c r="C2439" s="8" t="s">
        <v>1441</v>
      </c>
      <c r="D2439" s="8" t="s">
        <v>838</v>
      </c>
      <c r="E2439" s="83">
        <v>53000</v>
      </c>
      <c r="F2439" s="40" t="s">
        <v>1932</v>
      </c>
    </row>
    <row r="2440" spans="2:6" hidden="1">
      <c r="B2440" s="8">
        <v>2437</v>
      </c>
      <c r="C2440" s="8" t="s">
        <v>1441</v>
      </c>
      <c r="D2440" s="8" t="s">
        <v>2165</v>
      </c>
      <c r="E2440" s="83">
        <v>178000</v>
      </c>
      <c r="F2440" s="40" t="s">
        <v>1932</v>
      </c>
    </row>
    <row r="2441" spans="2:6" hidden="1">
      <c r="B2441" s="8">
        <v>2438</v>
      </c>
      <c r="C2441" s="8" t="s">
        <v>2166</v>
      </c>
      <c r="D2441" s="8" t="s">
        <v>2167</v>
      </c>
      <c r="E2441" s="83">
        <v>479000</v>
      </c>
      <c r="F2441" s="40" t="s">
        <v>1932</v>
      </c>
    </row>
    <row r="2442" spans="2:6" hidden="1">
      <c r="B2442" s="8">
        <v>2439</v>
      </c>
      <c r="C2442" s="8" t="s">
        <v>2166</v>
      </c>
      <c r="D2442" s="8" t="s">
        <v>2168</v>
      </c>
      <c r="E2442" s="83">
        <v>154000</v>
      </c>
      <c r="F2442" s="40" t="s">
        <v>1932</v>
      </c>
    </row>
    <row r="2443" spans="2:6" hidden="1">
      <c r="B2443" s="8">
        <v>2440</v>
      </c>
      <c r="C2443" s="8" t="s">
        <v>896</v>
      </c>
      <c r="D2443" s="8" t="s">
        <v>317</v>
      </c>
      <c r="E2443" s="83">
        <v>310000</v>
      </c>
      <c r="F2443" s="40" t="s">
        <v>1932</v>
      </c>
    </row>
    <row r="2444" spans="2:6" hidden="1">
      <c r="B2444" s="8">
        <v>2441</v>
      </c>
      <c r="C2444" s="8" t="s">
        <v>2169</v>
      </c>
      <c r="D2444" s="8" t="s">
        <v>640</v>
      </c>
      <c r="E2444" s="83">
        <v>425000</v>
      </c>
      <c r="F2444" s="40" t="s">
        <v>1932</v>
      </c>
    </row>
    <row r="2445" spans="2:6" hidden="1">
      <c r="B2445" s="8">
        <v>2442</v>
      </c>
      <c r="C2445" s="8" t="s">
        <v>2169</v>
      </c>
      <c r="D2445" s="8" t="s">
        <v>2170</v>
      </c>
      <c r="E2445" s="83">
        <v>280000</v>
      </c>
      <c r="F2445" s="40" t="s">
        <v>1932</v>
      </c>
    </row>
    <row r="2446" spans="2:6" hidden="1">
      <c r="B2446" s="8">
        <v>2443</v>
      </c>
      <c r="C2446" s="8" t="s">
        <v>2171</v>
      </c>
      <c r="D2446" s="8" t="s">
        <v>2172</v>
      </c>
      <c r="E2446" s="83">
        <v>464000</v>
      </c>
      <c r="F2446" s="40" t="s">
        <v>1932</v>
      </c>
    </row>
    <row r="2447" spans="2:6" hidden="1">
      <c r="B2447" s="8">
        <v>2444</v>
      </c>
      <c r="C2447" s="8" t="s">
        <v>901</v>
      </c>
      <c r="D2447" s="8" t="s">
        <v>769</v>
      </c>
      <c r="E2447" s="83">
        <v>140000</v>
      </c>
      <c r="F2447" s="40" t="s">
        <v>1932</v>
      </c>
    </row>
    <row r="2448" spans="2:6" hidden="1">
      <c r="B2448" s="8">
        <v>2445</v>
      </c>
      <c r="C2448" s="8" t="s">
        <v>1808</v>
      </c>
      <c r="D2448" s="8" t="s">
        <v>2173</v>
      </c>
      <c r="E2448" s="83">
        <v>53000</v>
      </c>
      <c r="F2448" s="40" t="s">
        <v>1932</v>
      </c>
    </row>
    <row r="2449" spans="2:6" hidden="1">
      <c r="B2449" s="8">
        <v>2446</v>
      </c>
      <c r="C2449" s="8" t="s">
        <v>1808</v>
      </c>
      <c r="D2449" s="8" t="s">
        <v>2174</v>
      </c>
      <c r="E2449" s="83">
        <v>2743000</v>
      </c>
      <c r="F2449" s="40" t="s">
        <v>1932</v>
      </c>
    </row>
    <row r="2450" spans="2:6" hidden="1">
      <c r="B2450" s="8">
        <v>2447</v>
      </c>
      <c r="C2450" s="8" t="s">
        <v>906</v>
      </c>
      <c r="D2450" s="8" t="s">
        <v>2175</v>
      </c>
      <c r="E2450" s="83">
        <v>455000</v>
      </c>
      <c r="F2450" s="40" t="s">
        <v>1932</v>
      </c>
    </row>
    <row r="2451" spans="2:6" hidden="1">
      <c r="B2451" s="8">
        <v>2448</v>
      </c>
      <c r="C2451" s="8" t="s">
        <v>910</v>
      </c>
      <c r="D2451" s="8" t="s">
        <v>2176</v>
      </c>
      <c r="E2451" s="83">
        <v>68000</v>
      </c>
      <c r="F2451" s="40" t="s">
        <v>1932</v>
      </c>
    </row>
    <row r="2452" spans="2:6" hidden="1">
      <c r="B2452" s="8">
        <v>2449</v>
      </c>
      <c r="C2452" s="8" t="s">
        <v>1448</v>
      </c>
      <c r="D2452" s="8" t="s">
        <v>838</v>
      </c>
      <c r="E2452" s="83">
        <v>146000</v>
      </c>
      <c r="F2452" s="40" t="s">
        <v>1932</v>
      </c>
    </row>
    <row r="2453" spans="2:6" hidden="1">
      <c r="B2453" s="8">
        <v>2450</v>
      </c>
      <c r="C2453" s="8" t="s">
        <v>1448</v>
      </c>
      <c r="D2453" s="8" t="s">
        <v>278</v>
      </c>
      <c r="E2453" s="83">
        <v>361000</v>
      </c>
      <c r="F2453" s="40" t="s">
        <v>1932</v>
      </c>
    </row>
    <row r="2454" spans="2:6" hidden="1">
      <c r="B2454" s="8">
        <v>2451</v>
      </c>
      <c r="C2454" s="8" t="s">
        <v>1816</v>
      </c>
      <c r="D2454" s="8" t="s">
        <v>405</v>
      </c>
      <c r="E2454" s="83">
        <v>121000</v>
      </c>
      <c r="F2454" s="40" t="s">
        <v>1932</v>
      </c>
    </row>
    <row r="2455" spans="2:6" hidden="1">
      <c r="B2455" s="8">
        <v>2452</v>
      </c>
      <c r="C2455" s="8" t="s">
        <v>1816</v>
      </c>
      <c r="D2455" s="8" t="s">
        <v>198</v>
      </c>
      <c r="E2455" s="83">
        <v>62000</v>
      </c>
      <c r="F2455" s="40" t="s">
        <v>1932</v>
      </c>
    </row>
    <row r="2456" spans="2:6" hidden="1">
      <c r="B2456" s="8">
        <v>2453</v>
      </c>
      <c r="C2456" s="8" t="s">
        <v>1450</v>
      </c>
      <c r="D2456" s="8" t="s">
        <v>2177</v>
      </c>
      <c r="E2456" s="83">
        <v>377000</v>
      </c>
      <c r="F2456" s="40" t="s">
        <v>1932</v>
      </c>
    </row>
    <row r="2457" spans="2:6" hidden="1">
      <c r="B2457" s="8">
        <v>2454</v>
      </c>
      <c r="C2457" s="8" t="s">
        <v>1451</v>
      </c>
      <c r="D2457" s="8" t="s">
        <v>932</v>
      </c>
      <c r="E2457" s="83">
        <v>324000</v>
      </c>
      <c r="F2457" s="40" t="s">
        <v>1932</v>
      </c>
    </row>
    <row r="2458" spans="2:6" hidden="1">
      <c r="B2458" s="8">
        <v>2455</v>
      </c>
      <c r="C2458" s="8" t="s">
        <v>1451</v>
      </c>
      <c r="D2458" s="8" t="s">
        <v>630</v>
      </c>
      <c r="E2458" s="83">
        <v>105000</v>
      </c>
      <c r="F2458" s="40" t="s">
        <v>1932</v>
      </c>
    </row>
    <row r="2459" spans="2:6" hidden="1">
      <c r="B2459" s="8">
        <v>2456</v>
      </c>
      <c r="C2459" s="8" t="s">
        <v>917</v>
      </c>
      <c r="D2459" s="8" t="s">
        <v>1264</v>
      </c>
      <c r="E2459" s="83">
        <v>342000</v>
      </c>
      <c r="F2459" s="40" t="s">
        <v>1932</v>
      </c>
    </row>
    <row r="2460" spans="2:6" hidden="1">
      <c r="B2460" s="8">
        <v>2457</v>
      </c>
      <c r="C2460" s="8" t="s">
        <v>919</v>
      </c>
      <c r="D2460" s="8" t="s">
        <v>2178</v>
      </c>
      <c r="E2460" s="83">
        <v>313000</v>
      </c>
      <c r="F2460" s="40" t="s">
        <v>1932</v>
      </c>
    </row>
    <row r="2461" spans="2:6" hidden="1">
      <c r="B2461" s="8">
        <v>2458</v>
      </c>
      <c r="C2461" s="8" t="s">
        <v>1824</v>
      </c>
      <c r="D2461" s="8" t="s">
        <v>2179</v>
      </c>
      <c r="E2461" s="83">
        <v>979000</v>
      </c>
      <c r="F2461" s="40" t="s">
        <v>1932</v>
      </c>
    </row>
    <row r="2462" spans="2:6" hidden="1">
      <c r="B2462" s="8">
        <v>2459</v>
      </c>
      <c r="C2462" s="8" t="s">
        <v>931</v>
      </c>
      <c r="D2462" s="8" t="s">
        <v>1010</v>
      </c>
      <c r="E2462" s="83">
        <v>90000</v>
      </c>
      <c r="F2462" s="40" t="s">
        <v>1932</v>
      </c>
    </row>
    <row r="2463" spans="2:6" hidden="1">
      <c r="B2463" s="8">
        <v>2460</v>
      </c>
      <c r="C2463" s="8" t="s">
        <v>1459</v>
      </c>
      <c r="D2463" s="8" t="s">
        <v>1436</v>
      </c>
      <c r="E2463" s="83">
        <v>1268000</v>
      </c>
      <c r="F2463" s="40" t="s">
        <v>1932</v>
      </c>
    </row>
    <row r="2464" spans="2:6" hidden="1">
      <c r="B2464" s="8">
        <v>2461</v>
      </c>
      <c r="C2464" s="8" t="s">
        <v>1463</v>
      </c>
      <c r="D2464" s="8" t="s">
        <v>211</v>
      </c>
      <c r="E2464" s="83">
        <v>232000</v>
      </c>
      <c r="F2464" s="40" t="s">
        <v>1932</v>
      </c>
    </row>
    <row r="2465" spans="2:6" hidden="1">
      <c r="B2465" s="8">
        <v>2462</v>
      </c>
      <c r="C2465" s="8" t="s">
        <v>1463</v>
      </c>
      <c r="D2465" s="8" t="s">
        <v>819</v>
      </c>
      <c r="E2465" s="83">
        <v>182000</v>
      </c>
      <c r="F2465" s="40" t="s">
        <v>1932</v>
      </c>
    </row>
    <row r="2466" spans="2:6" hidden="1">
      <c r="B2466" s="8">
        <v>2463</v>
      </c>
      <c r="C2466" s="8" t="s">
        <v>1463</v>
      </c>
      <c r="D2466" s="8" t="s">
        <v>791</v>
      </c>
      <c r="E2466" s="83">
        <v>167000</v>
      </c>
      <c r="F2466" s="40" t="s">
        <v>1932</v>
      </c>
    </row>
    <row r="2467" spans="2:6" hidden="1">
      <c r="B2467" s="8">
        <v>2464</v>
      </c>
      <c r="C2467" s="8" t="s">
        <v>1465</v>
      </c>
      <c r="D2467" s="8" t="s">
        <v>819</v>
      </c>
      <c r="E2467" s="83">
        <v>85000</v>
      </c>
      <c r="F2467" s="40" t="s">
        <v>1932</v>
      </c>
    </row>
    <row r="2468" spans="2:6" hidden="1">
      <c r="B2468" s="8">
        <v>2465</v>
      </c>
      <c r="C2468" s="8" t="s">
        <v>1468</v>
      </c>
      <c r="D2468" s="8" t="s">
        <v>2180</v>
      </c>
      <c r="E2468" s="83">
        <v>296000</v>
      </c>
      <c r="F2468" s="40" t="s">
        <v>1932</v>
      </c>
    </row>
    <row r="2469" spans="2:6" hidden="1">
      <c r="B2469" s="8">
        <v>2466</v>
      </c>
      <c r="C2469" s="8" t="s">
        <v>2181</v>
      </c>
      <c r="D2469" s="8" t="s">
        <v>2182</v>
      </c>
      <c r="E2469" s="83">
        <v>266000</v>
      </c>
      <c r="F2469" s="40" t="s">
        <v>1932</v>
      </c>
    </row>
    <row r="2470" spans="2:6" hidden="1">
      <c r="B2470" s="8">
        <v>2467</v>
      </c>
      <c r="C2470" s="8" t="s">
        <v>2181</v>
      </c>
      <c r="D2470" s="8" t="s">
        <v>900</v>
      </c>
      <c r="E2470" s="83">
        <v>111000</v>
      </c>
      <c r="F2470" s="40" t="s">
        <v>1932</v>
      </c>
    </row>
    <row r="2471" spans="2:6" hidden="1">
      <c r="B2471" s="8">
        <v>2468</v>
      </c>
      <c r="C2471" s="8" t="s">
        <v>955</v>
      </c>
      <c r="D2471" s="8" t="s">
        <v>2183</v>
      </c>
      <c r="E2471" s="83">
        <v>475000</v>
      </c>
      <c r="F2471" s="40" t="s">
        <v>1932</v>
      </c>
    </row>
    <row r="2472" spans="2:6" hidden="1">
      <c r="B2472" s="8">
        <v>2469</v>
      </c>
      <c r="C2472" s="8" t="s">
        <v>955</v>
      </c>
      <c r="D2472" s="8" t="s">
        <v>1619</v>
      </c>
      <c r="E2472" s="83">
        <v>75000</v>
      </c>
      <c r="F2472" s="40" t="s">
        <v>1932</v>
      </c>
    </row>
    <row r="2473" spans="2:6" hidden="1">
      <c r="B2473" s="8">
        <v>2470</v>
      </c>
      <c r="C2473" s="8" t="s">
        <v>959</v>
      </c>
      <c r="D2473" s="8" t="s">
        <v>2184</v>
      </c>
      <c r="E2473" s="83">
        <v>718000</v>
      </c>
      <c r="F2473" s="40" t="s">
        <v>1932</v>
      </c>
    </row>
    <row r="2474" spans="2:6" hidden="1">
      <c r="B2474" s="8">
        <v>2471</v>
      </c>
      <c r="C2474" s="8" t="s">
        <v>959</v>
      </c>
      <c r="D2474" s="8" t="s">
        <v>2185</v>
      </c>
      <c r="E2474" s="83">
        <v>391000</v>
      </c>
      <c r="F2474" s="40" t="s">
        <v>1932</v>
      </c>
    </row>
    <row r="2475" spans="2:6" hidden="1">
      <c r="B2475" s="8">
        <v>2472</v>
      </c>
      <c r="C2475" s="8" t="s">
        <v>1840</v>
      </c>
      <c r="D2475" s="8" t="s">
        <v>2083</v>
      </c>
      <c r="E2475" s="83">
        <v>154000</v>
      </c>
      <c r="F2475" s="40" t="s">
        <v>1932</v>
      </c>
    </row>
    <row r="2476" spans="2:6" hidden="1">
      <c r="B2476" s="8">
        <v>2473</v>
      </c>
      <c r="C2476" s="8" t="s">
        <v>1840</v>
      </c>
      <c r="D2476" s="8" t="s">
        <v>211</v>
      </c>
      <c r="E2476" s="83">
        <v>447000</v>
      </c>
      <c r="F2476" s="40" t="s">
        <v>1932</v>
      </c>
    </row>
    <row r="2477" spans="2:6" hidden="1">
      <c r="B2477" s="8">
        <v>2474</v>
      </c>
      <c r="C2477" s="8" t="s">
        <v>1479</v>
      </c>
      <c r="D2477" s="8" t="s">
        <v>1343</v>
      </c>
      <c r="E2477" s="83">
        <v>238000</v>
      </c>
      <c r="F2477" s="40" t="s">
        <v>1932</v>
      </c>
    </row>
    <row r="2478" spans="2:6" hidden="1">
      <c r="B2478" s="8">
        <v>2475</v>
      </c>
      <c r="C2478" s="8" t="s">
        <v>964</v>
      </c>
      <c r="D2478" s="8" t="s">
        <v>2186</v>
      </c>
      <c r="E2478" s="83">
        <v>476000</v>
      </c>
      <c r="F2478" s="40" t="s">
        <v>1932</v>
      </c>
    </row>
    <row r="2479" spans="2:6" hidden="1">
      <c r="B2479" s="8">
        <v>2476</v>
      </c>
      <c r="C2479" s="8" t="s">
        <v>965</v>
      </c>
      <c r="D2479" s="8" t="s">
        <v>247</v>
      </c>
      <c r="E2479" s="83">
        <v>84000</v>
      </c>
      <c r="F2479" s="40" t="s">
        <v>1932</v>
      </c>
    </row>
    <row r="2480" spans="2:6" hidden="1">
      <c r="B2480" s="8">
        <v>2477</v>
      </c>
      <c r="C2480" s="8" t="s">
        <v>1843</v>
      </c>
      <c r="D2480" s="8" t="s">
        <v>699</v>
      </c>
      <c r="E2480" s="83">
        <v>218000</v>
      </c>
      <c r="F2480" s="40" t="s">
        <v>1932</v>
      </c>
    </row>
    <row r="2481" spans="2:6" hidden="1">
      <c r="B2481" s="8">
        <v>2478</v>
      </c>
      <c r="C2481" s="8" t="s">
        <v>1843</v>
      </c>
      <c r="D2481" s="8" t="s">
        <v>217</v>
      </c>
      <c r="E2481" s="83">
        <v>444000</v>
      </c>
      <c r="F2481" s="40" t="s">
        <v>1932</v>
      </c>
    </row>
    <row r="2482" spans="2:6" hidden="1">
      <c r="B2482" s="8">
        <v>2479</v>
      </c>
      <c r="C2482" s="8" t="s">
        <v>2187</v>
      </c>
      <c r="D2482" s="8" t="s">
        <v>1750</v>
      </c>
      <c r="E2482" s="83">
        <v>293000</v>
      </c>
      <c r="F2482" s="40" t="s">
        <v>1932</v>
      </c>
    </row>
    <row r="2483" spans="2:6" hidden="1">
      <c r="B2483" s="8">
        <v>2480</v>
      </c>
      <c r="C2483" s="8" t="s">
        <v>2188</v>
      </c>
      <c r="D2483" s="8" t="s">
        <v>640</v>
      </c>
      <c r="E2483" s="83">
        <v>133000</v>
      </c>
      <c r="F2483" s="40" t="s">
        <v>1932</v>
      </c>
    </row>
    <row r="2484" spans="2:6" hidden="1">
      <c r="B2484" s="8">
        <v>2481</v>
      </c>
      <c r="C2484" s="8" t="s">
        <v>1483</v>
      </c>
      <c r="D2484" s="8" t="s">
        <v>2189</v>
      </c>
      <c r="E2484" s="83">
        <v>445000</v>
      </c>
      <c r="F2484" s="40" t="s">
        <v>1932</v>
      </c>
    </row>
    <row r="2485" spans="2:6" hidden="1">
      <c r="B2485" s="8">
        <v>2482</v>
      </c>
      <c r="C2485" s="8" t="s">
        <v>977</v>
      </c>
      <c r="D2485" s="8" t="s">
        <v>2190</v>
      </c>
      <c r="E2485" s="83">
        <v>206000</v>
      </c>
      <c r="F2485" s="40" t="s">
        <v>1932</v>
      </c>
    </row>
    <row r="2486" spans="2:6" hidden="1">
      <c r="B2486" s="8">
        <v>2483</v>
      </c>
      <c r="C2486" s="8" t="s">
        <v>977</v>
      </c>
      <c r="D2486" s="8" t="s">
        <v>1653</v>
      </c>
      <c r="E2486" s="83">
        <v>472000</v>
      </c>
      <c r="F2486" s="40" t="s">
        <v>1932</v>
      </c>
    </row>
    <row r="2487" spans="2:6" hidden="1">
      <c r="B2487" s="8">
        <v>2484</v>
      </c>
      <c r="C2487" s="8" t="s">
        <v>977</v>
      </c>
      <c r="D2487" s="8" t="s">
        <v>2191</v>
      </c>
      <c r="E2487" s="83">
        <v>1630000</v>
      </c>
      <c r="F2487" s="40" t="s">
        <v>1932</v>
      </c>
    </row>
    <row r="2488" spans="2:6" hidden="1">
      <c r="B2488" s="8">
        <v>2485</v>
      </c>
      <c r="C2488" s="8" t="s">
        <v>977</v>
      </c>
      <c r="D2488" s="8" t="s">
        <v>2192</v>
      </c>
      <c r="E2488" s="83">
        <v>3040000</v>
      </c>
      <c r="F2488" s="40" t="s">
        <v>1932</v>
      </c>
    </row>
    <row r="2489" spans="2:6" hidden="1">
      <c r="B2489" s="8">
        <v>2486</v>
      </c>
      <c r="C2489" s="8" t="s">
        <v>984</v>
      </c>
      <c r="D2489" s="8" t="s">
        <v>317</v>
      </c>
      <c r="E2489" s="83">
        <v>247000</v>
      </c>
      <c r="F2489" s="40" t="s">
        <v>1932</v>
      </c>
    </row>
    <row r="2490" spans="2:6" hidden="1">
      <c r="B2490" s="8">
        <v>2487</v>
      </c>
      <c r="C2490" s="8" t="s">
        <v>986</v>
      </c>
      <c r="D2490" s="8" t="s">
        <v>912</v>
      </c>
      <c r="E2490" s="83">
        <v>92000</v>
      </c>
      <c r="F2490" s="40" t="s">
        <v>1932</v>
      </c>
    </row>
    <row r="2491" spans="2:6" hidden="1">
      <c r="B2491" s="8">
        <v>2488</v>
      </c>
      <c r="C2491" s="8" t="s">
        <v>989</v>
      </c>
      <c r="D2491" s="8" t="s">
        <v>2193</v>
      </c>
      <c r="E2491" s="83">
        <v>135000</v>
      </c>
      <c r="F2491" s="40" t="s">
        <v>1932</v>
      </c>
    </row>
    <row r="2492" spans="2:6" hidden="1">
      <c r="B2492" s="8">
        <v>2489</v>
      </c>
      <c r="C2492" s="8" t="s">
        <v>2194</v>
      </c>
      <c r="D2492" s="8" t="s">
        <v>775</v>
      </c>
      <c r="E2492" s="83">
        <v>218000</v>
      </c>
      <c r="F2492" s="40" t="s">
        <v>1932</v>
      </c>
    </row>
    <row r="2493" spans="2:6" hidden="1">
      <c r="B2493" s="8">
        <v>2490</v>
      </c>
      <c r="C2493" s="8" t="s">
        <v>990</v>
      </c>
      <c r="D2493" s="8" t="s">
        <v>2195</v>
      </c>
      <c r="E2493" s="83">
        <v>114000</v>
      </c>
      <c r="F2493" s="40" t="s">
        <v>1932</v>
      </c>
    </row>
    <row r="2494" spans="2:6" hidden="1">
      <c r="B2494" s="8">
        <v>2491</v>
      </c>
      <c r="C2494" s="8" t="s">
        <v>990</v>
      </c>
      <c r="D2494" s="8" t="s">
        <v>217</v>
      </c>
      <c r="E2494" s="83">
        <v>561000</v>
      </c>
      <c r="F2494" s="40" t="s">
        <v>1932</v>
      </c>
    </row>
    <row r="2495" spans="2:6" hidden="1">
      <c r="B2495" s="8">
        <v>2492</v>
      </c>
      <c r="C2495" s="8" t="s">
        <v>1492</v>
      </c>
      <c r="D2495" s="8" t="s">
        <v>608</v>
      </c>
      <c r="E2495" s="83">
        <v>161000</v>
      </c>
      <c r="F2495" s="40" t="s">
        <v>1932</v>
      </c>
    </row>
    <row r="2496" spans="2:6" hidden="1">
      <c r="B2496" s="8">
        <v>2493</v>
      </c>
      <c r="C2496" s="8" t="s">
        <v>1492</v>
      </c>
      <c r="D2496" s="8" t="s">
        <v>1287</v>
      </c>
      <c r="E2496" s="83">
        <v>628000</v>
      </c>
      <c r="F2496" s="40" t="s">
        <v>1932</v>
      </c>
    </row>
    <row r="2497" spans="2:6" hidden="1">
      <c r="B2497" s="8">
        <v>2494</v>
      </c>
      <c r="C2497" s="8" t="s">
        <v>1492</v>
      </c>
      <c r="D2497" s="8" t="s">
        <v>2196</v>
      </c>
      <c r="E2497" s="83">
        <v>897000</v>
      </c>
      <c r="F2497" s="40" t="s">
        <v>1932</v>
      </c>
    </row>
    <row r="2498" spans="2:6" hidden="1">
      <c r="B2498" s="8">
        <v>2495</v>
      </c>
      <c r="C2498" s="8" t="s">
        <v>1492</v>
      </c>
      <c r="D2498" s="8" t="s">
        <v>932</v>
      </c>
      <c r="E2498" s="83">
        <v>122000</v>
      </c>
      <c r="F2498" s="40" t="s">
        <v>1932</v>
      </c>
    </row>
    <row r="2499" spans="2:6" hidden="1">
      <c r="B2499" s="8">
        <v>2496</v>
      </c>
      <c r="C2499" s="8" t="s">
        <v>1492</v>
      </c>
      <c r="D2499" s="8" t="s">
        <v>2197</v>
      </c>
      <c r="E2499" s="83">
        <v>671000</v>
      </c>
      <c r="F2499" s="40" t="s">
        <v>1932</v>
      </c>
    </row>
    <row r="2500" spans="2:6" hidden="1">
      <c r="B2500" s="8">
        <v>2497</v>
      </c>
      <c r="C2500" s="8" t="s">
        <v>1492</v>
      </c>
      <c r="D2500" s="8" t="s">
        <v>2198</v>
      </c>
      <c r="E2500" s="83">
        <v>221000</v>
      </c>
      <c r="F2500" s="40" t="s">
        <v>1932</v>
      </c>
    </row>
    <row r="2501" spans="2:6" hidden="1">
      <c r="B2501" s="8">
        <v>2498</v>
      </c>
      <c r="C2501" s="8" t="s">
        <v>1492</v>
      </c>
      <c r="D2501" s="8" t="s">
        <v>2199</v>
      </c>
      <c r="E2501" s="83">
        <v>273000</v>
      </c>
      <c r="F2501" s="40" t="s">
        <v>1932</v>
      </c>
    </row>
    <row r="2502" spans="2:6" hidden="1">
      <c r="B2502" s="8">
        <v>2499</v>
      </c>
      <c r="C2502" s="8" t="s">
        <v>2200</v>
      </c>
      <c r="D2502" s="8" t="s">
        <v>198</v>
      </c>
      <c r="E2502" s="83">
        <v>627000</v>
      </c>
      <c r="F2502" s="40" t="s">
        <v>1932</v>
      </c>
    </row>
    <row r="2503" spans="2:6" hidden="1">
      <c r="B2503" s="8">
        <v>2500</v>
      </c>
      <c r="C2503" s="8" t="s">
        <v>1003</v>
      </c>
      <c r="D2503" s="8" t="s">
        <v>2201</v>
      </c>
      <c r="E2503" s="83">
        <v>1243000</v>
      </c>
      <c r="F2503" s="40" t="s">
        <v>1932</v>
      </c>
    </row>
    <row r="2504" spans="2:6" hidden="1">
      <c r="B2504" s="8">
        <v>2501</v>
      </c>
      <c r="C2504" s="8" t="s">
        <v>1004</v>
      </c>
      <c r="D2504" s="8" t="s">
        <v>217</v>
      </c>
      <c r="E2504" s="83">
        <v>632000</v>
      </c>
      <c r="F2504" s="40" t="s">
        <v>1932</v>
      </c>
    </row>
    <row r="2505" spans="2:6" hidden="1">
      <c r="B2505" s="8">
        <v>2502</v>
      </c>
      <c r="C2505" s="8" t="s">
        <v>1007</v>
      </c>
      <c r="D2505" s="8" t="s">
        <v>769</v>
      </c>
      <c r="E2505" s="83">
        <v>195000</v>
      </c>
      <c r="F2505" s="40" t="s">
        <v>1932</v>
      </c>
    </row>
    <row r="2506" spans="2:6" hidden="1">
      <c r="B2506" s="8">
        <v>2503</v>
      </c>
      <c r="C2506" s="8" t="s">
        <v>1009</v>
      </c>
      <c r="D2506" s="8" t="s">
        <v>1842</v>
      </c>
      <c r="E2506" s="83">
        <v>53000</v>
      </c>
      <c r="F2506" s="40" t="s">
        <v>1932</v>
      </c>
    </row>
    <row r="2507" spans="2:6" hidden="1">
      <c r="B2507" s="8">
        <v>2504</v>
      </c>
      <c r="C2507" s="8" t="s">
        <v>1500</v>
      </c>
      <c r="D2507" s="8" t="s">
        <v>2202</v>
      </c>
      <c r="E2507" s="83">
        <v>84000</v>
      </c>
      <c r="F2507" s="40" t="s">
        <v>1932</v>
      </c>
    </row>
    <row r="2508" spans="2:6" hidden="1">
      <c r="B2508" s="8">
        <v>2505</v>
      </c>
      <c r="C2508" s="8" t="s">
        <v>1018</v>
      </c>
      <c r="D2508" s="8" t="s">
        <v>339</v>
      </c>
      <c r="E2508" s="83">
        <v>109000</v>
      </c>
      <c r="F2508" s="40" t="s">
        <v>1932</v>
      </c>
    </row>
    <row r="2509" spans="2:6" hidden="1">
      <c r="B2509" s="8">
        <v>2506</v>
      </c>
      <c r="C2509" s="8" t="s">
        <v>1856</v>
      </c>
      <c r="D2509" s="8" t="s">
        <v>211</v>
      </c>
      <c r="E2509" s="83">
        <v>403000</v>
      </c>
      <c r="F2509" s="40" t="s">
        <v>1932</v>
      </c>
    </row>
    <row r="2510" spans="2:6" hidden="1">
      <c r="B2510" s="8">
        <v>2507</v>
      </c>
      <c r="C2510" s="8" t="s">
        <v>1023</v>
      </c>
      <c r="D2510" s="8" t="s">
        <v>2203</v>
      </c>
      <c r="E2510" s="83">
        <v>96000</v>
      </c>
      <c r="F2510" s="40" t="s">
        <v>1932</v>
      </c>
    </row>
    <row r="2511" spans="2:6" hidden="1">
      <c r="B2511" s="8">
        <v>2508</v>
      </c>
      <c r="C2511" s="8" t="s">
        <v>1023</v>
      </c>
      <c r="D2511" s="8" t="s">
        <v>2204</v>
      </c>
      <c r="E2511" s="83">
        <v>80000</v>
      </c>
      <c r="F2511" s="40" t="s">
        <v>1932</v>
      </c>
    </row>
    <row r="2512" spans="2:6" hidden="1">
      <c r="B2512" s="8">
        <v>2509</v>
      </c>
      <c r="C2512" s="8" t="s">
        <v>1029</v>
      </c>
      <c r="D2512" s="8" t="s">
        <v>317</v>
      </c>
      <c r="E2512" s="83">
        <v>186000</v>
      </c>
      <c r="F2512" s="40" t="s">
        <v>1932</v>
      </c>
    </row>
    <row r="2513" spans="2:6" hidden="1">
      <c r="B2513" s="8">
        <v>2510</v>
      </c>
      <c r="C2513" s="8" t="s">
        <v>1029</v>
      </c>
      <c r="D2513" s="8" t="s">
        <v>2205</v>
      </c>
      <c r="E2513" s="83">
        <v>204000</v>
      </c>
      <c r="F2513" s="40" t="s">
        <v>1932</v>
      </c>
    </row>
    <row r="2514" spans="2:6" hidden="1">
      <c r="B2514" s="8">
        <v>2511</v>
      </c>
      <c r="C2514" s="8" t="s">
        <v>1506</v>
      </c>
      <c r="D2514" s="8" t="s">
        <v>2206</v>
      </c>
      <c r="E2514" s="83">
        <v>242000</v>
      </c>
      <c r="F2514" s="40" t="s">
        <v>1932</v>
      </c>
    </row>
    <row r="2515" spans="2:6" hidden="1">
      <c r="B2515" s="8">
        <v>2512</v>
      </c>
      <c r="C2515" s="8" t="s">
        <v>1863</v>
      </c>
      <c r="D2515" s="8" t="s">
        <v>838</v>
      </c>
      <c r="E2515" s="83">
        <v>128000</v>
      </c>
      <c r="F2515" s="40" t="s">
        <v>1932</v>
      </c>
    </row>
    <row r="2516" spans="2:6" hidden="1">
      <c r="B2516" s="8">
        <v>2513</v>
      </c>
      <c r="C2516" s="8" t="s">
        <v>1863</v>
      </c>
      <c r="D2516" s="8" t="s">
        <v>648</v>
      </c>
      <c r="E2516" s="83">
        <v>128000</v>
      </c>
      <c r="F2516" s="40" t="s">
        <v>1932</v>
      </c>
    </row>
    <row r="2517" spans="2:6" hidden="1">
      <c r="B2517" s="8">
        <v>2514</v>
      </c>
      <c r="C2517" s="8" t="s">
        <v>1863</v>
      </c>
      <c r="D2517" s="8" t="s">
        <v>451</v>
      </c>
      <c r="E2517" s="83">
        <v>154000</v>
      </c>
      <c r="F2517" s="40" t="s">
        <v>1932</v>
      </c>
    </row>
    <row r="2518" spans="2:6" hidden="1">
      <c r="B2518" s="8">
        <v>2515</v>
      </c>
      <c r="C2518" s="8" t="s">
        <v>1507</v>
      </c>
      <c r="D2518" s="8" t="s">
        <v>2207</v>
      </c>
      <c r="E2518" s="83">
        <v>482000</v>
      </c>
      <c r="F2518" s="40" t="s">
        <v>1932</v>
      </c>
    </row>
    <row r="2519" spans="2:6" hidden="1">
      <c r="B2519" s="8">
        <v>2516</v>
      </c>
      <c r="C2519" s="8" t="s">
        <v>1507</v>
      </c>
      <c r="D2519" s="8" t="s">
        <v>2208</v>
      </c>
      <c r="E2519" s="83">
        <v>53000</v>
      </c>
      <c r="F2519" s="40" t="s">
        <v>1932</v>
      </c>
    </row>
    <row r="2520" spans="2:6" hidden="1">
      <c r="B2520" s="8">
        <v>2517</v>
      </c>
      <c r="C2520" s="8" t="s">
        <v>1037</v>
      </c>
      <c r="D2520" s="8" t="s">
        <v>198</v>
      </c>
      <c r="E2520" s="83">
        <v>300000</v>
      </c>
      <c r="F2520" s="40" t="s">
        <v>1932</v>
      </c>
    </row>
    <row r="2521" spans="2:6" hidden="1">
      <c r="B2521" s="8">
        <v>2518</v>
      </c>
      <c r="C2521" s="8" t="s">
        <v>1866</v>
      </c>
      <c r="D2521" s="8" t="s">
        <v>2209</v>
      </c>
      <c r="E2521" s="83">
        <v>297000</v>
      </c>
      <c r="F2521" s="40" t="s">
        <v>1932</v>
      </c>
    </row>
    <row r="2522" spans="2:6" hidden="1">
      <c r="B2522" s="8">
        <v>2519</v>
      </c>
      <c r="C2522" s="8" t="s">
        <v>1039</v>
      </c>
      <c r="D2522" s="8" t="s">
        <v>1484</v>
      </c>
      <c r="E2522" s="83">
        <v>90000</v>
      </c>
      <c r="F2522" s="40" t="s">
        <v>1932</v>
      </c>
    </row>
    <row r="2523" spans="2:6" hidden="1">
      <c r="B2523" s="8">
        <v>2520</v>
      </c>
      <c r="C2523" s="8" t="s">
        <v>2210</v>
      </c>
      <c r="D2523" s="8" t="s">
        <v>236</v>
      </c>
      <c r="E2523" s="83">
        <v>83000</v>
      </c>
      <c r="F2523" s="40" t="s">
        <v>1932</v>
      </c>
    </row>
    <row r="2524" spans="2:6" hidden="1">
      <c r="B2524" s="8">
        <v>2521</v>
      </c>
      <c r="C2524" s="8" t="s">
        <v>2210</v>
      </c>
      <c r="D2524" s="8" t="s">
        <v>534</v>
      </c>
      <c r="E2524" s="83">
        <v>232000</v>
      </c>
      <c r="F2524" s="40" t="s">
        <v>1932</v>
      </c>
    </row>
    <row r="2525" spans="2:6" hidden="1">
      <c r="B2525" s="8">
        <v>2522</v>
      </c>
      <c r="C2525" s="8" t="s">
        <v>1867</v>
      </c>
      <c r="D2525" s="8" t="s">
        <v>475</v>
      </c>
      <c r="E2525" s="83">
        <v>319000</v>
      </c>
      <c r="F2525" s="40" t="s">
        <v>1932</v>
      </c>
    </row>
    <row r="2526" spans="2:6" hidden="1">
      <c r="B2526" s="8">
        <v>2523</v>
      </c>
      <c r="C2526" s="8" t="s">
        <v>1867</v>
      </c>
      <c r="D2526" s="8" t="s">
        <v>415</v>
      </c>
      <c r="E2526" s="83">
        <v>167000</v>
      </c>
      <c r="F2526" s="40" t="s">
        <v>1932</v>
      </c>
    </row>
    <row r="2527" spans="2:6" hidden="1">
      <c r="B2527" s="8">
        <v>2524</v>
      </c>
      <c r="C2527" s="8" t="s">
        <v>1042</v>
      </c>
      <c r="D2527" s="8" t="s">
        <v>198</v>
      </c>
      <c r="E2527" s="83">
        <v>444000</v>
      </c>
      <c r="F2527" s="40" t="s">
        <v>1932</v>
      </c>
    </row>
    <row r="2528" spans="2:6" hidden="1">
      <c r="B2528" s="8">
        <v>2525</v>
      </c>
      <c r="C2528" s="8" t="s">
        <v>1511</v>
      </c>
      <c r="D2528" s="8" t="s">
        <v>2211</v>
      </c>
      <c r="E2528" s="83">
        <v>535000</v>
      </c>
      <c r="F2528" s="40" t="s">
        <v>1932</v>
      </c>
    </row>
    <row r="2529" spans="2:6" hidden="1">
      <c r="B2529" s="8">
        <v>2526</v>
      </c>
      <c r="C2529" s="8" t="s">
        <v>1513</v>
      </c>
      <c r="D2529" s="8" t="s">
        <v>2212</v>
      </c>
      <c r="E2529" s="83">
        <v>243000</v>
      </c>
      <c r="F2529" s="40" t="s">
        <v>1932</v>
      </c>
    </row>
    <row r="2530" spans="2:6" hidden="1">
      <c r="B2530" s="8">
        <v>2527</v>
      </c>
      <c r="C2530" s="8" t="s">
        <v>1513</v>
      </c>
      <c r="D2530" s="8" t="s">
        <v>2213</v>
      </c>
      <c r="E2530" s="83">
        <v>165000</v>
      </c>
      <c r="F2530" s="40" t="s">
        <v>1932</v>
      </c>
    </row>
    <row r="2531" spans="2:6" hidden="1">
      <c r="B2531" s="8">
        <v>2528</v>
      </c>
      <c r="C2531" s="8" t="s">
        <v>1513</v>
      </c>
      <c r="D2531" s="8" t="s">
        <v>317</v>
      </c>
      <c r="E2531" s="83">
        <v>264000</v>
      </c>
      <c r="F2531" s="40" t="s">
        <v>1932</v>
      </c>
    </row>
    <row r="2532" spans="2:6" hidden="1">
      <c r="B2532" s="8">
        <v>2529</v>
      </c>
      <c r="C2532" s="8" t="s">
        <v>2214</v>
      </c>
      <c r="D2532" s="8" t="s">
        <v>2215</v>
      </c>
      <c r="E2532" s="83">
        <v>53000</v>
      </c>
      <c r="F2532" s="40" t="s">
        <v>1932</v>
      </c>
    </row>
    <row r="2533" spans="2:6" hidden="1">
      <c r="B2533" s="8">
        <v>2530</v>
      </c>
      <c r="C2533" s="8" t="s">
        <v>2214</v>
      </c>
      <c r="D2533" s="8" t="s">
        <v>2216</v>
      </c>
      <c r="E2533" s="83">
        <v>281000</v>
      </c>
      <c r="F2533" s="40" t="s">
        <v>1932</v>
      </c>
    </row>
    <row r="2534" spans="2:6" hidden="1">
      <c r="B2534" s="8">
        <v>2531</v>
      </c>
      <c r="C2534" s="8" t="s">
        <v>1043</v>
      </c>
      <c r="D2534" s="8" t="s">
        <v>198</v>
      </c>
      <c r="E2534" s="83">
        <v>300000</v>
      </c>
      <c r="F2534" s="40" t="s">
        <v>1932</v>
      </c>
    </row>
    <row r="2535" spans="2:6" hidden="1">
      <c r="B2535" s="8">
        <v>2532</v>
      </c>
      <c r="C2535" s="8" t="s">
        <v>1043</v>
      </c>
      <c r="D2535" s="8" t="s">
        <v>319</v>
      </c>
      <c r="E2535" s="83">
        <v>180000</v>
      </c>
      <c r="F2535" s="40" t="s">
        <v>1932</v>
      </c>
    </row>
    <row r="2536" spans="2:6" hidden="1">
      <c r="B2536" s="8">
        <v>2533</v>
      </c>
      <c r="C2536" s="8" t="s">
        <v>2217</v>
      </c>
      <c r="D2536" s="8" t="s">
        <v>211</v>
      </c>
      <c r="E2536" s="83">
        <v>290000</v>
      </c>
      <c r="F2536" s="40" t="s">
        <v>1932</v>
      </c>
    </row>
    <row r="2537" spans="2:6" hidden="1">
      <c r="B2537" s="8">
        <v>2534</v>
      </c>
      <c r="C2537" s="8" t="s">
        <v>2217</v>
      </c>
      <c r="D2537" s="8" t="s">
        <v>1010</v>
      </c>
      <c r="E2537" s="83">
        <v>158000</v>
      </c>
      <c r="F2537" s="40" t="s">
        <v>1932</v>
      </c>
    </row>
    <row r="2538" spans="2:6" hidden="1">
      <c r="B2538" s="8">
        <v>2535</v>
      </c>
      <c r="C2538" s="8" t="s">
        <v>1871</v>
      </c>
      <c r="D2538" s="8" t="s">
        <v>2218</v>
      </c>
      <c r="E2538" s="83">
        <v>101000</v>
      </c>
      <c r="F2538" s="40" t="s">
        <v>1932</v>
      </c>
    </row>
    <row r="2539" spans="2:6" hidden="1">
      <c r="B2539" s="8">
        <v>2536</v>
      </c>
      <c r="C2539" s="8" t="s">
        <v>1871</v>
      </c>
      <c r="D2539" s="8" t="s">
        <v>2050</v>
      </c>
      <c r="E2539" s="83">
        <v>193000</v>
      </c>
      <c r="F2539" s="40" t="s">
        <v>1932</v>
      </c>
    </row>
    <row r="2540" spans="2:6" hidden="1">
      <c r="B2540" s="8">
        <v>2537</v>
      </c>
      <c r="C2540" s="8" t="s">
        <v>1521</v>
      </c>
      <c r="D2540" s="8" t="s">
        <v>236</v>
      </c>
      <c r="E2540" s="83">
        <v>93000</v>
      </c>
      <c r="F2540" s="40" t="s">
        <v>1932</v>
      </c>
    </row>
    <row r="2541" spans="2:6" hidden="1">
      <c r="B2541" s="8">
        <v>2538</v>
      </c>
      <c r="C2541" s="8" t="s">
        <v>2219</v>
      </c>
      <c r="D2541" s="8" t="s">
        <v>317</v>
      </c>
      <c r="E2541" s="83">
        <v>236000</v>
      </c>
      <c r="F2541" s="40" t="s">
        <v>1932</v>
      </c>
    </row>
    <row r="2542" spans="2:6" hidden="1">
      <c r="B2542" s="8">
        <v>2539</v>
      </c>
      <c r="C2542" s="8" t="s">
        <v>1523</v>
      </c>
      <c r="D2542" s="8" t="s">
        <v>211</v>
      </c>
      <c r="E2542" s="83">
        <v>417000</v>
      </c>
      <c r="F2542" s="40" t="s">
        <v>1932</v>
      </c>
    </row>
    <row r="2543" spans="2:6" hidden="1">
      <c r="B2543" s="8">
        <v>2540</v>
      </c>
      <c r="C2543" s="8" t="s">
        <v>2220</v>
      </c>
      <c r="D2543" s="8" t="s">
        <v>2221</v>
      </c>
      <c r="E2543" s="83">
        <v>403000</v>
      </c>
      <c r="F2543" s="40" t="s">
        <v>1932</v>
      </c>
    </row>
    <row r="2544" spans="2:6" hidden="1">
      <c r="B2544" s="8">
        <v>2541</v>
      </c>
      <c r="C2544" s="8" t="s">
        <v>2220</v>
      </c>
      <c r="D2544" s="8" t="s">
        <v>2222</v>
      </c>
      <c r="E2544" s="83">
        <v>174000</v>
      </c>
      <c r="F2544" s="40" t="s">
        <v>1932</v>
      </c>
    </row>
    <row r="2545" spans="2:6" hidden="1">
      <c r="B2545" s="8">
        <v>2542</v>
      </c>
      <c r="C2545" s="8" t="s">
        <v>1525</v>
      </c>
      <c r="D2545" s="8" t="s">
        <v>2223</v>
      </c>
      <c r="E2545" s="83">
        <v>114000</v>
      </c>
      <c r="F2545" s="40" t="s">
        <v>1932</v>
      </c>
    </row>
    <row r="2546" spans="2:6" hidden="1">
      <c r="B2546" s="8">
        <v>2543</v>
      </c>
      <c r="C2546" s="8" t="s">
        <v>1525</v>
      </c>
      <c r="D2546" s="8" t="s">
        <v>2224</v>
      </c>
      <c r="E2546" s="83">
        <v>114000</v>
      </c>
      <c r="F2546" s="40" t="s">
        <v>1932</v>
      </c>
    </row>
    <row r="2547" spans="2:6" hidden="1">
      <c r="B2547" s="8">
        <v>2544</v>
      </c>
      <c r="C2547" s="8" t="s">
        <v>1055</v>
      </c>
      <c r="D2547" s="8" t="s">
        <v>2225</v>
      </c>
      <c r="E2547" s="83">
        <v>1620000</v>
      </c>
      <c r="F2547" s="40" t="s">
        <v>1932</v>
      </c>
    </row>
    <row r="2548" spans="2:6" hidden="1">
      <c r="B2548" s="8">
        <v>2545</v>
      </c>
      <c r="C2548" s="8" t="s">
        <v>2226</v>
      </c>
      <c r="D2548" s="8" t="s">
        <v>2227</v>
      </c>
      <c r="E2548" s="83">
        <v>127000</v>
      </c>
      <c r="F2548" s="40" t="s">
        <v>1932</v>
      </c>
    </row>
    <row r="2549" spans="2:6" hidden="1">
      <c r="B2549" s="8">
        <v>2546</v>
      </c>
      <c r="C2549" s="8" t="s">
        <v>1879</v>
      </c>
      <c r="D2549" s="8" t="s">
        <v>2060</v>
      </c>
      <c r="E2549" s="83">
        <v>430000</v>
      </c>
      <c r="F2549" s="40" t="s">
        <v>1932</v>
      </c>
    </row>
    <row r="2550" spans="2:6" hidden="1">
      <c r="B2550" s="8">
        <v>2547</v>
      </c>
      <c r="C2550" s="8" t="s">
        <v>1534</v>
      </c>
      <c r="D2550" s="8" t="s">
        <v>1860</v>
      </c>
      <c r="E2550" s="83">
        <v>528000</v>
      </c>
      <c r="F2550" s="40" t="s">
        <v>1932</v>
      </c>
    </row>
    <row r="2551" spans="2:6" hidden="1">
      <c r="B2551" s="8">
        <v>2548</v>
      </c>
      <c r="C2551" s="8" t="s">
        <v>1065</v>
      </c>
      <c r="D2551" s="8" t="s">
        <v>217</v>
      </c>
      <c r="E2551" s="83">
        <v>143000</v>
      </c>
      <c r="F2551" s="40" t="s">
        <v>1932</v>
      </c>
    </row>
    <row r="2552" spans="2:6" hidden="1">
      <c r="B2552" s="8">
        <v>2549</v>
      </c>
      <c r="C2552" s="8" t="s">
        <v>2228</v>
      </c>
      <c r="D2552" s="8" t="s">
        <v>317</v>
      </c>
      <c r="E2552" s="83">
        <v>207000</v>
      </c>
      <c r="F2552" s="40" t="s">
        <v>1932</v>
      </c>
    </row>
    <row r="2553" spans="2:6" hidden="1">
      <c r="B2553" s="8">
        <v>2550</v>
      </c>
      <c r="C2553" s="8" t="s">
        <v>2229</v>
      </c>
      <c r="D2553" s="8" t="s">
        <v>217</v>
      </c>
      <c r="E2553" s="83">
        <v>535000</v>
      </c>
      <c r="F2553" s="40" t="s">
        <v>1932</v>
      </c>
    </row>
    <row r="2554" spans="2:6" hidden="1">
      <c r="B2554" s="8">
        <v>2551</v>
      </c>
      <c r="C2554" s="8" t="s">
        <v>1066</v>
      </c>
      <c r="D2554" s="8" t="s">
        <v>2230</v>
      </c>
      <c r="E2554" s="83">
        <v>67000</v>
      </c>
      <c r="F2554" s="40" t="s">
        <v>1932</v>
      </c>
    </row>
    <row r="2555" spans="2:6" hidden="1">
      <c r="B2555" s="8">
        <v>2552</v>
      </c>
      <c r="C2555" s="8" t="s">
        <v>1881</v>
      </c>
      <c r="D2555" s="8" t="s">
        <v>640</v>
      </c>
      <c r="E2555" s="83">
        <v>252000</v>
      </c>
      <c r="F2555" s="40" t="s">
        <v>1932</v>
      </c>
    </row>
    <row r="2556" spans="2:6" hidden="1">
      <c r="B2556" s="8">
        <v>2553</v>
      </c>
      <c r="C2556" s="8" t="s">
        <v>2231</v>
      </c>
      <c r="D2556" s="8" t="s">
        <v>217</v>
      </c>
      <c r="E2556" s="83">
        <v>498000</v>
      </c>
      <c r="F2556" s="40" t="s">
        <v>1932</v>
      </c>
    </row>
    <row r="2557" spans="2:6" hidden="1">
      <c r="B2557" s="8">
        <v>2554</v>
      </c>
      <c r="C2557" s="8" t="s">
        <v>1882</v>
      </c>
      <c r="D2557" s="8" t="s">
        <v>2232</v>
      </c>
      <c r="E2557" s="83">
        <v>824000</v>
      </c>
      <c r="F2557" s="40" t="s">
        <v>1932</v>
      </c>
    </row>
    <row r="2558" spans="2:6" hidden="1">
      <c r="B2558" s="8">
        <v>2555</v>
      </c>
      <c r="C2558" s="8" t="s">
        <v>1882</v>
      </c>
      <c r="D2558" s="8" t="s">
        <v>2233</v>
      </c>
      <c r="E2558" s="83">
        <v>928000</v>
      </c>
      <c r="F2558" s="40" t="s">
        <v>1932</v>
      </c>
    </row>
    <row r="2559" spans="2:6" hidden="1">
      <c r="B2559" s="8">
        <v>2556</v>
      </c>
      <c r="C2559" s="8" t="s">
        <v>2234</v>
      </c>
      <c r="D2559" s="8" t="s">
        <v>640</v>
      </c>
      <c r="E2559" s="83">
        <v>144000</v>
      </c>
      <c r="F2559" s="40" t="s">
        <v>1932</v>
      </c>
    </row>
    <row r="2560" spans="2:6" hidden="1">
      <c r="B2560" s="8">
        <v>2557</v>
      </c>
      <c r="C2560" s="8" t="s">
        <v>2235</v>
      </c>
      <c r="D2560" s="8" t="s">
        <v>1970</v>
      </c>
      <c r="E2560" s="83">
        <v>283000</v>
      </c>
      <c r="F2560" s="40" t="s">
        <v>1932</v>
      </c>
    </row>
    <row r="2561" spans="2:6" hidden="1">
      <c r="B2561" s="8">
        <v>2558</v>
      </c>
      <c r="C2561" s="8" t="s">
        <v>1078</v>
      </c>
      <c r="D2561" s="8" t="s">
        <v>198</v>
      </c>
      <c r="E2561" s="83">
        <v>196000</v>
      </c>
      <c r="F2561" s="40" t="s">
        <v>1932</v>
      </c>
    </row>
    <row r="2562" spans="2:6" hidden="1">
      <c r="B2562" s="8">
        <v>2559</v>
      </c>
      <c r="C2562" s="8" t="s">
        <v>2236</v>
      </c>
      <c r="D2562" s="8" t="s">
        <v>2237</v>
      </c>
      <c r="E2562" s="83">
        <v>224000</v>
      </c>
      <c r="F2562" s="40" t="s">
        <v>1932</v>
      </c>
    </row>
    <row r="2563" spans="2:6" hidden="1">
      <c r="B2563" s="8">
        <v>2560</v>
      </c>
      <c r="C2563" s="8" t="s">
        <v>1889</v>
      </c>
      <c r="D2563" s="8" t="s">
        <v>769</v>
      </c>
      <c r="E2563" s="83">
        <v>100000</v>
      </c>
      <c r="F2563" s="40" t="s">
        <v>1932</v>
      </c>
    </row>
    <row r="2564" spans="2:6" hidden="1">
      <c r="B2564" s="8">
        <v>2561</v>
      </c>
      <c r="C2564" s="8" t="s">
        <v>2238</v>
      </c>
      <c r="D2564" s="8" t="s">
        <v>217</v>
      </c>
      <c r="E2564" s="83">
        <v>1050000</v>
      </c>
      <c r="F2564" s="40" t="s">
        <v>1932</v>
      </c>
    </row>
    <row r="2565" spans="2:6" hidden="1">
      <c r="B2565" s="8">
        <v>2562</v>
      </c>
      <c r="C2565" s="8" t="s">
        <v>1083</v>
      </c>
      <c r="D2565" s="8" t="s">
        <v>345</v>
      </c>
      <c r="E2565" s="83">
        <v>2101000</v>
      </c>
      <c r="F2565" s="40" t="s">
        <v>1932</v>
      </c>
    </row>
    <row r="2566" spans="2:6" hidden="1">
      <c r="B2566" s="8">
        <v>2563</v>
      </c>
      <c r="C2566" s="8" t="s">
        <v>1083</v>
      </c>
      <c r="D2566" s="8" t="s">
        <v>1366</v>
      </c>
      <c r="E2566" s="83">
        <v>111000</v>
      </c>
      <c r="F2566" s="40" t="s">
        <v>1932</v>
      </c>
    </row>
    <row r="2567" spans="2:6" hidden="1">
      <c r="B2567" s="8">
        <v>2564</v>
      </c>
      <c r="C2567" s="8" t="s">
        <v>1083</v>
      </c>
      <c r="D2567" s="8" t="s">
        <v>2239</v>
      </c>
      <c r="E2567" s="83">
        <v>53000</v>
      </c>
      <c r="F2567" s="40" t="s">
        <v>1932</v>
      </c>
    </row>
    <row r="2568" spans="2:6" hidden="1">
      <c r="B2568" s="8">
        <v>2565</v>
      </c>
      <c r="C2568" s="8" t="s">
        <v>1085</v>
      </c>
      <c r="D2568" s="8" t="s">
        <v>769</v>
      </c>
      <c r="E2568" s="83">
        <v>128000</v>
      </c>
      <c r="F2568" s="40" t="s">
        <v>1932</v>
      </c>
    </row>
    <row r="2569" spans="2:6" hidden="1">
      <c r="B2569" s="8">
        <v>2566</v>
      </c>
      <c r="C2569" s="8" t="s">
        <v>1893</v>
      </c>
      <c r="D2569" s="8" t="s">
        <v>769</v>
      </c>
      <c r="E2569" s="83">
        <v>100000</v>
      </c>
      <c r="F2569" s="40" t="s">
        <v>1932</v>
      </c>
    </row>
    <row r="2570" spans="2:6" hidden="1">
      <c r="B2570" s="8">
        <v>2567</v>
      </c>
      <c r="C2570" s="8" t="s">
        <v>955</v>
      </c>
      <c r="D2570" s="8" t="s">
        <v>2240</v>
      </c>
      <c r="E2570" s="83">
        <v>1300000</v>
      </c>
      <c r="F2570" s="40" t="s">
        <v>1932</v>
      </c>
    </row>
    <row r="2571" spans="2:6" hidden="1">
      <c r="B2571" s="8">
        <v>2568</v>
      </c>
      <c r="C2571" s="8" t="s">
        <v>197</v>
      </c>
      <c r="D2571" s="8" t="s">
        <v>2241</v>
      </c>
      <c r="E2571" s="83">
        <v>78000</v>
      </c>
      <c r="F2571" s="40" t="s">
        <v>1932</v>
      </c>
    </row>
    <row r="2572" spans="2:6" hidden="1">
      <c r="B2572" s="8">
        <v>2569</v>
      </c>
      <c r="C2572" s="8" t="s">
        <v>2242</v>
      </c>
      <c r="D2572" s="8" t="s">
        <v>2243</v>
      </c>
      <c r="E2572" s="83">
        <v>53000</v>
      </c>
      <c r="F2572" s="40" t="s">
        <v>1932</v>
      </c>
    </row>
    <row r="2573" spans="2:6" hidden="1">
      <c r="B2573" s="8">
        <v>2570</v>
      </c>
      <c r="C2573" s="8" t="s">
        <v>1121</v>
      </c>
      <c r="D2573" s="8" t="s">
        <v>2244</v>
      </c>
      <c r="E2573" s="83">
        <v>62000</v>
      </c>
      <c r="F2573" s="40" t="s">
        <v>1932</v>
      </c>
    </row>
    <row r="2574" spans="2:6" hidden="1">
      <c r="B2574" s="8">
        <v>2571</v>
      </c>
      <c r="C2574" s="8" t="s">
        <v>1898</v>
      </c>
      <c r="D2574" s="8" t="s">
        <v>2245</v>
      </c>
      <c r="E2574" s="83">
        <v>165000</v>
      </c>
      <c r="F2574" s="40" t="s">
        <v>1932</v>
      </c>
    </row>
    <row r="2575" spans="2:6" hidden="1">
      <c r="B2575" s="8">
        <v>2572</v>
      </c>
      <c r="C2575" s="8" t="s">
        <v>290</v>
      </c>
      <c r="D2575" s="8" t="s">
        <v>1923</v>
      </c>
      <c r="E2575" s="83">
        <v>1618000</v>
      </c>
      <c r="F2575" s="40" t="s">
        <v>1932</v>
      </c>
    </row>
    <row r="2576" spans="2:6" hidden="1">
      <c r="B2576" s="8">
        <v>2573</v>
      </c>
      <c r="C2576" s="8" t="s">
        <v>324</v>
      </c>
      <c r="D2576" s="8" t="s">
        <v>2246</v>
      </c>
      <c r="E2576" s="83">
        <v>500000</v>
      </c>
      <c r="F2576" s="40" t="s">
        <v>1932</v>
      </c>
    </row>
    <row r="2577" spans="2:6" hidden="1">
      <c r="B2577" s="8">
        <v>2574</v>
      </c>
      <c r="C2577" s="8" t="s">
        <v>331</v>
      </c>
      <c r="D2577" s="8" t="s">
        <v>317</v>
      </c>
      <c r="E2577" s="83">
        <v>91000</v>
      </c>
      <c r="F2577" s="40" t="s">
        <v>1932</v>
      </c>
    </row>
    <row r="2578" spans="2:6" hidden="1">
      <c r="B2578" s="8">
        <v>2575</v>
      </c>
      <c r="C2578" s="8" t="s">
        <v>1146</v>
      </c>
      <c r="D2578" s="8" t="s">
        <v>1899</v>
      </c>
      <c r="E2578" s="83">
        <v>70000</v>
      </c>
      <c r="F2578" s="40" t="s">
        <v>1932</v>
      </c>
    </row>
    <row r="2579" spans="2:6" hidden="1">
      <c r="B2579" s="8">
        <v>2576</v>
      </c>
      <c r="C2579" s="8" t="s">
        <v>1590</v>
      </c>
      <c r="D2579" s="8" t="s">
        <v>2247</v>
      </c>
      <c r="E2579" s="83">
        <v>348000</v>
      </c>
      <c r="F2579" s="40" t="s">
        <v>1932</v>
      </c>
    </row>
    <row r="2580" spans="2:6" hidden="1">
      <c r="B2580" s="8">
        <v>2577</v>
      </c>
      <c r="C2580" s="8" t="s">
        <v>353</v>
      </c>
      <c r="D2580" s="8" t="s">
        <v>2248</v>
      </c>
      <c r="E2580" s="83">
        <v>111000</v>
      </c>
      <c r="F2580" s="40" t="s">
        <v>1932</v>
      </c>
    </row>
    <row r="2581" spans="2:6" hidden="1">
      <c r="B2581" s="8">
        <v>2578</v>
      </c>
      <c r="C2581" s="8" t="s">
        <v>361</v>
      </c>
      <c r="D2581" s="8" t="s">
        <v>1897</v>
      </c>
      <c r="E2581" s="83">
        <v>315000</v>
      </c>
      <c r="F2581" s="40" t="s">
        <v>1932</v>
      </c>
    </row>
    <row r="2582" spans="2:6" hidden="1">
      <c r="B2582" s="8">
        <v>2579</v>
      </c>
      <c r="C2582" s="8" t="s">
        <v>365</v>
      </c>
      <c r="D2582" s="8" t="s">
        <v>2249</v>
      </c>
      <c r="E2582" s="83">
        <v>438000</v>
      </c>
      <c r="F2582" s="40" t="s">
        <v>1932</v>
      </c>
    </row>
    <row r="2583" spans="2:6" hidden="1">
      <c r="B2583" s="8">
        <v>2580</v>
      </c>
      <c r="C2583" s="8" t="s">
        <v>366</v>
      </c>
      <c r="D2583" s="8" t="s">
        <v>2250</v>
      </c>
      <c r="E2583" s="83">
        <v>84000</v>
      </c>
      <c r="F2583" s="40" t="s">
        <v>1932</v>
      </c>
    </row>
    <row r="2584" spans="2:6" hidden="1">
      <c r="B2584" s="8">
        <v>2581</v>
      </c>
      <c r="C2584" s="8" t="s">
        <v>366</v>
      </c>
      <c r="D2584" s="8" t="s">
        <v>2251</v>
      </c>
      <c r="E2584" s="83">
        <v>121000</v>
      </c>
      <c r="F2584" s="40" t="s">
        <v>1932</v>
      </c>
    </row>
    <row r="2585" spans="2:6" hidden="1">
      <c r="B2585" s="8">
        <v>2582</v>
      </c>
      <c r="C2585" s="8" t="s">
        <v>380</v>
      </c>
      <c r="D2585" s="8" t="s">
        <v>2252</v>
      </c>
      <c r="E2585" s="83">
        <v>115000</v>
      </c>
      <c r="F2585" s="40" t="s">
        <v>1932</v>
      </c>
    </row>
    <row r="2586" spans="2:6" hidden="1">
      <c r="B2586" s="8">
        <v>2583</v>
      </c>
      <c r="C2586" s="8" t="s">
        <v>1602</v>
      </c>
      <c r="D2586" s="8" t="s">
        <v>2253</v>
      </c>
      <c r="E2586" s="83">
        <v>102000</v>
      </c>
      <c r="F2586" s="40" t="s">
        <v>1932</v>
      </c>
    </row>
    <row r="2587" spans="2:6" hidden="1">
      <c r="B2587" s="8">
        <v>2584</v>
      </c>
      <c r="C2587" s="8" t="s">
        <v>1606</v>
      </c>
      <c r="D2587" s="8" t="s">
        <v>2254</v>
      </c>
      <c r="E2587" s="83">
        <v>76000</v>
      </c>
      <c r="F2587" s="40" t="s">
        <v>1932</v>
      </c>
    </row>
    <row r="2588" spans="2:6" hidden="1">
      <c r="B2588" s="8">
        <v>2585</v>
      </c>
      <c r="C2588" s="8" t="s">
        <v>1606</v>
      </c>
      <c r="D2588" s="8" t="s">
        <v>2245</v>
      </c>
      <c r="E2588" s="83">
        <v>144000</v>
      </c>
      <c r="F2588" s="40" t="s">
        <v>1932</v>
      </c>
    </row>
    <row r="2589" spans="2:6" hidden="1">
      <c r="B2589" s="8">
        <v>2586</v>
      </c>
      <c r="C2589" s="8" t="s">
        <v>428</v>
      </c>
      <c r="D2589" s="8" t="s">
        <v>734</v>
      </c>
      <c r="E2589" s="83">
        <v>61000</v>
      </c>
      <c r="F2589" s="40" t="s">
        <v>1932</v>
      </c>
    </row>
    <row r="2590" spans="2:6" hidden="1">
      <c r="B2590" s="8">
        <v>2587</v>
      </c>
      <c r="C2590" s="8" t="s">
        <v>442</v>
      </c>
      <c r="D2590" s="8" t="s">
        <v>2255</v>
      </c>
      <c r="E2590" s="83">
        <v>84000</v>
      </c>
      <c r="F2590" s="40" t="s">
        <v>1932</v>
      </c>
    </row>
    <row r="2591" spans="2:6" hidden="1">
      <c r="B2591" s="8">
        <v>2588</v>
      </c>
      <c r="C2591" s="8" t="s">
        <v>442</v>
      </c>
      <c r="D2591" s="8" t="s">
        <v>2256</v>
      </c>
      <c r="E2591" s="83">
        <v>53000</v>
      </c>
      <c r="F2591" s="40" t="s">
        <v>1932</v>
      </c>
    </row>
    <row r="2592" spans="2:6" hidden="1">
      <c r="B2592" s="8">
        <v>2589</v>
      </c>
      <c r="C2592" s="8" t="s">
        <v>448</v>
      </c>
      <c r="D2592" s="8" t="s">
        <v>1917</v>
      </c>
      <c r="E2592" s="83">
        <v>574000</v>
      </c>
      <c r="F2592" s="40" t="s">
        <v>1932</v>
      </c>
    </row>
    <row r="2593" spans="2:6" hidden="1">
      <c r="B2593" s="8">
        <v>2590</v>
      </c>
      <c r="C2593" s="8" t="s">
        <v>458</v>
      </c>
      <c r="D2593" s="8" t="s">
        <v>2257</v>
      </c>
      <c r="E2593" s="83">
        <v>77000</v>
      </c>
      <c r="F2593" s="40" t="s">
        <v>1932</v>
      </c>
    </row>
    <row r="2594" spans="2:6" hidden="1">
      <c r="B2594" s="8">
        <v>2591</v>
      </c>
      <c r="C2594" s="8" t="s">
        <v>458</v>
      </c>
      <c r="D2594" s="8" t="s">
        <v>2258</v>
      </c>
      <c r="E2594" s="83">
        <v>53000</v>
      </c>
      <c r="F2594" s="40" t="s">
        <v>1932</v>
      </c>
    </row>
    <row r="2595" spans="2:6" hidden="1">
      <c r="B2595" s="8">
        <v>2592</v>
      </c>
      <c r="C2595" s="8" t="s">
        <v>458</v>
      </c>
      <c r="D2595" s="8" t="s">
        <v>983</v>
      </c>
      <c r="E2595" s="83">
        <v>84000</v>
      </c>
      <c r="F2595" s="40" t="s">
        <v>1932</v>
      </c>
    </row>
    <row r="2596" spans="2:6" hidden="1">
      <c r="B2596" s="8">
        <v>2593</v>
      </c>
      <c r="C2596" s="8" t="s">
        <v>1630</v>
      </c>
      <c r="D2596" s="8" t="s">
        <v>2259</v>
      </c>
      <c r="E2596" s="83">
        <v>242000</v>
      </c>
      <c r="F2596" s="40" t="s">
        <v>1932</v>
      </c>
    </row>
    <row r="2597" spans="2:6" hidden="1">
      <c r="B2597" s="8">
        <v>2594</v>
      </c>
      <c r="C2597" s="8" t="s">
        <v>461</v>
      </c>
      <c r="D2597" s="8" t="s">
        <v>2260</v>
      </c>
      <c r="E2597" s="83">
        <v>499000</v>
      </c>
      <c r="F2597" s="40" t="s">
        <v>1932</v>
      </c>
    </row>
    <row r="2598" spans="2:6" hidden="1">
      <c r="B2598" s="8">
        <v>2595</v>
      </c>
      <c r="C2598" s="8" t="s">
        <v>1640</v>
      </c>
      <c r="D2598" s="8" t="s">
        <v>2261</v>
      </c>
      <c r="E2598" s="83">
        <v>148000</v>
      </c>
      <c r="F2598" s="40" t="s">
        <v>1932</v>
      </c>
    </row>
    <row r="2599" spans="2:6" hidden="1">
      <c r="B2599" s="8">
        <v>2596</v>
      </c>
      <c r="C2599" s="8" t="s">
        <v>477</v>
      </c>
      <c r="D2599" s="8" t="s">
        <v>2262</v>
      </c>
      <c r="E2599" s="83">
        <v>53000</v>
      </c>
      <c r="F2599" s="40" t="s">
        <v>1932</v>
      </c>
    </row>
    <row r="2600" spans="2:6" hidden="1">
      <c r="B2600" s="8">
        <v>2597</v>
      </c>
      <c r="C2600" s="8" t="s">
        <v>484</v>
      </c>
      <c r="D2600" s="8" t="s">
        <v>2263</v>
      </c>
      <c r="E2600" s="83">
        <v>53000</v>
      </c>
      <c r="F2600" s="40" t="s">
        <v>1932</v>
      </c>
    </row>
    <row r="2601" spans="2:6" hidden="1">
      <c r="B2601" s="8">
        <v>2598</v>
      </c>
      <c r="C2601" s="8" t="s">
        <v>484</v>
      </c>
      <c r="D2601" s="8" t="s">
        <v>2247</v>
      </c>
      <c r="E2601" s="83">
        <v>243000</v>
      </c>
      <c r="F2601" s="40" t="s">
        <v>1932</v>
      </c>
    </row>
    <row r="2602" spans="2:6" hidden="1">
      <c r="B2602" s="8">
        <v>2599</v>
      </c>
      <c r="C2602" s="8" t="s">
        <v>1214</v>
      </c>
      <c r="D2602" s="8" t="s">
        <v>2264</v>
      </c>
      <c r="E2602" s="83">
        <v>53000</v>
      </c>
      <c r="F2602" s="40" t="s">
        <v>1932</v>
      </c>
    </row>
    <row r="2603" spans="2:6" hidden="1">
      <c r="B2603" s="8">
        <v>2600</v>
      </c>
      <c r="C2603" s="8" t="s">
        <v>487</v>
      </c>
      <c r="D2603" s="8" t="s">
        <v>2265</v>
      </c>
      <c r="E2603" s="83">
        <v>87000</v>
      </c>
      <c r="F2603" s="40" t="s">
        <v>1932</v>
      </c>
    </row>
    <row r="2604" spans="2:6" hidden="1">
      <c r="B2604" s="8">
        <v>2601</v>
      </c>
      <c r="C2604" s="8" t="s">
        <v>491</v>
      </c>
      <c r="D2604" s="8" t="s">
        <v>734</v>
      </c>
      <c r="E2604" s="83">
        <v>424000</v>
      </c>
      <c r="F2604" s="40" t="s">
        <v>1932</v>
      </c>
    </row>
    <row r="2605" spans="2:6" hidden="1">
      <c r="B2605" s="8">
        <v>2602</v>
      </c>
      <c r="C2605" s="8" t="s">
        <v>2266</v>
      </c>
      <c r="D2605" s="8" t="s">
        <v>2267</v>
      </c>
      <c r="E2605" s="83">
        <v>288000</v>
      </c>
      <c r="F2605" s="40" t="s">
        <v>1932</v>
      </c>
    </row>
    <row r="2606" spans="2:6" hidden="1">
      <c r="B2606" s="8">
        <v>2603</v>
      </c>
      <c r="C2606" s="8" t="s">
        <v>192</v>
      </c>
      <c r="D2606" s="8" t="s">
        <v>1897</v>
      </c>
      <c r="E2606" s="83">
        <v>411000</v>
      </c>
      <c r="F2606" s="40" t="s">
        <v>1932</v>
      </c>
    </row>
    <row r="2607" spans="2:6" hidden="1">
      <c r="B2607" s="8">
        <v>2604</v>
      </c>
      <c r="C2607" s="8" t="s">
        <v>192</v>
      </c>
      <c r="D2607" s="8" t="s">
        <v>983</v>
      </c>
      <c r="E2607" s="83">
        <v>84000</v>
      </c>
      <c r="F2607" s="40" t="s">
        <v>1932</v>
      </c>
    </row>
    <row r="2608" spans="2:6" hidden="1">
      <c r="B2608" s="8">
        <v>2605</v>
      </c>
      <c r="C2608" s="8" t="s">
        <v>520</v>
      </c>
      <c r="D2608" s="8" t="s">
        <v>2006</v>
      </c>
      <c r="E2608" s="83">
        <v>356000</v>
      </c>
      <c r="F2608" s="40" t="s">
        <v>1932</v>
      </c>
    </row>
    <row r="2609" spans="2:6" hidden="1">
      <c r="B2609" s="8">
        <v>2606</v>
      </c>
      <c r="C2609" s="8" t="s">
        <v>1665</v>
      </c>
      <c r="D2609" s="8" t="s">
        <v>1923</v>
      </c>
      <c r="E2609" s="83">
        <v>572000</v>
      </c>
      <c r="F2609" s="40" t="s">
        <v>1932</v>
      </c>
    </row>
    <row r="2610" spans="2:6" hidden="1">
      <c r="B2610" s="8">
        <v>2607</v>
      </c>
      <c r="C2610" s="8" t="s">
        <v>541</v>
      </c>
      <c r="D2610" s="8" t="s">
        <v>2247</v>
      </c>
      <c r="E2610" s="83">
        <v>276000</v>
      </c>
      <c r="F2610" s="40" t="s">
        <v>1932</v>
      </c>
    </row>
    <row r="2611" spans="2:6" hidden="1">
      <c r="B2611" s="8">
        <v>2608</v>
      </c>
      <c r="C2611" s="8" t="s">
        <v>556</v>
      </c>
      <c r="D2611" s="8" t="s">
        <v>2247</v>
      </c>
      <c r="E2611" s="83">
        <v>426000</v>
      </c>
      <c r="F2611" s="40" t="s">
        <v>1932</v>
      </c>
    </row>
    <row r="2612" spans="2:6" hidden="1">
      <c r="B2612" s="8">
        <v>2609</v>
      </c>
      <c r="C2612" s="8" t="s">
        <v>1675</v>
      </c>
      <c r="D2612" s="8" t="s">
        <v>2268</v>
      </c>
      <c r="E2612" s="83">
        <v>260000</v>
      </c>
      <c r="F2612" s="40" t="s">
        <v>1932</v>
      </c>
    </row>
    <row r="2613" spans="2:6" hidden="1">
      <c r="B2613" s="8">
        <v>2610</v>
      </c>
      <c r="C2613" s="8" t="s">
        <v>1256</v>
      </c>
      <c r="D2613" s="8" t="s">
        <v>2247</v>
      </c>
      <c r="E2613" s="83">
        <v>337000</v>
      </c>
      <c r="F2613" s="40" t="s">
        <v>1932</v>
      </c>
    </row>
    <row r="2614" spans="2:6" hidden="1">
      <c r="B2614" s="8">
        <v>2611</v>
      </c>
      <c r="C2614" s="8" t="s">
        <v>566</v>
      </c>
      <c r="D2614" s="8" t="s">
        <v>2269</v>
      </c>
      <c r="E2614" s="83">
        <v>53000</v>
      </c>
      <c r="F2614" s="40" t="s">
        <v>1932</v>
      </c>
    </row>
    <row r="2615" spans="2:6" hidden="1">
      <c r="B2615" s="8">
        <v>2612</v>
      </c>
      <c r="C2615" s="8" t="s">
        <v>576</v>
      </c>
      <c r="D2615" s="8" t="s">
        <v>2270</v>
      </c>
      <c r="E2615" s="83">
        <v>95000</v>
      </c>
      <c r="F2615" s="40" t="s">
        <v>1932</v>
      </c>
    </row>
    <row r="2616" spans="2:6" hidden="1">
      <c r="B2616" s="8">
        <v>2613</v>
      </c>
      <c r="C2616" s="8" t="s">
        <v>576</v>
      </c>
      <c r="D2616" s="8" t="s">
        <v>2271</v>
      </c>
      <c r="E2616" s="83">
        <v>84000</v>
      </c>
      <c r="F2616" s="40" t="s">
        <v>1932</v>
      </c>
    </row>
    <row r="2617" spans="2:6" hidden="1">
      <c r="B2617" s="8">
        <v>2614</v>
      </c>
      <c r="C2617" s="8" t="s">
        <v>619</v>
      </c>
      <c r="D2617" s="8" t="s">
        <v>219</v>
      </c>
      <c r="E2617" s="83">
        <v>53000</v>
      </c>
      <c r="F2617" s="40" t="s">
        <v>1932</v>
      </c>
    </row>
    <row r="2618" spans="2:6" hidden="1">
      <c r="B2618" s="8">
        <v>2615</v>
      </c>
      <c r="C2618" s="8" t="s">
        <v>622</v>
      </c>
      <c r="D2618" s="8" t="s">
        <v>2272</v>
      </c>
      <c r="E2618" s="83">
        <v>141000</v>
      </c>
      <c r="F2618" s="40" t="s">
        <v>1932</v>
      </c>
    </row>
    <row r="2619" spans="2:6" hidden="1">
      <c r="B2619" s="8">
        <v>2616</v>
      </c>
      <c r="C2619" s="8" t="s">
        <v>622</v>
      </c>
      <c r="D2619" s="8" t="s">
        <v>2273</v>
      </c>
      <c r="E2619" s="83">
        <v>329000</v>
      </c>
      <c r="F2619" s="40" t="s">
        <v>1932</v>
      </c>
    </row>
    <row r="2620" spans="2:6" hidden="1">
      <c r="B2620" s="8">
        <v>2617</v>
      </c>
      <c r="C2620" s="8" t="s">
        <v>642</v>
      </c>
      <c r="D2620" s="8" t="s">
        <v>199</v>
      </c>
      <c r="E2620" s="83">
        <v>53000</v>
      </c>
      <c r="F2620" s="40" t="s">
        <v>1932</v>
      </c>
    </row>
    <row r="2621" spans="2:6" hidden="1">
      <c r="B2621" s="8">
        <v>2618</v>
      </c>
      <c r="C2621" s="8" t="s">
        <v>645</v>
      </c>
      <c r="D2621" s="8" t="s">
        <v>2245</v>
      </c>
      <c r="E2621" s="83">
        <v>296000</v>
      </c>
      <c r="F2621" s="40" t="s">
        <v>1932</v>
      </c>
    </row>
    <row r="2622" spans="2:6" hidden="1">
      <c r="B2622" s="8">
        <v>2619</v>
      </c>
      <c r="C2622" s="8" t="s">
        <v>650</v>
      </c>
      <c r="D2622" s="8" t="s">
        <v>2274</v>
      </c>
      <c r="E2622" s="83">
        <v>122000</v>
      </c>
      <c r="F2622" s="40" t="s">
        <v>1932</v>
      </c>
    </row>
    <row r="2623" spans="2:6" hidden="1">
      <c r="B2623" s="8">
        <v>2620</v>
      </c>
      <c r="C2623" s="8" t="s">
        <v>650</v>
      </c>
      <c r="D2623" s="8" t="s">
        <v>2275</v>
      </c>
      <c r="E2623" s="83">
        <v>84000</v>
      </c>
      <c r="F2623" s="40" t="s">
        <v>1932</v>
      </c>
    </row>
    <row r="2624" spans="2:6" hidden="1">
      <c r="B2624" s="8">
        <v>2621</v>
      </c>
      <c r="C2624" s="8" t="s">
        <v>1318</v>
      </c>
      <c r="D2624" s="8" t="s">
        <v>2247</v>
      </c>
      <c r="E2624" s="83">
        <v>344000</v>
      </c>
      <c r="F2624" s="40" t="s">
        <v>1932</v>
      </c>
    </row>
    <row r="2625" spans="2:6" hidden="1">
      <c r="B2625" s="8">
        <v>2622</v>
      </c>
      <c r="C2625" s="8" t="s">
        <v>2097</v>
      </c>
      <c r="D2625" s="8" t="s">
        <v>1897</v>
      </c>
      <c r="E2625" s="83">
        <v>123000</v>
      </c>
      <c r="F2625" s="40" t="s">
        <v>1932</v>
      </c>
    </row>
    <row r="2626" spans="2:6" hidden="1">
      <c r="B2626" s="8">
        <v>2623</v>
      </c>
      <c r="C2626" s="8" t="s">
        <v>692</v>
      </c>
      <c r="D2626" s="8" t="s">
        <v>2276</v>
      </c>
      <c r="E2626" s="83">
        <v>77000</v>
      </c>
      <c r="F2626" s="40" t="s">
        <v>1932</v>
      </c>
    </row>
    <row r="2627" spans="2:6" hidden="1">
      <c r="B2627" s="8">
        <v>2624</v>
      </c>
      <c r="C2627" s="8" t="s">
        <v>730</v>
      </c>
      <c r="D2627" s="8" t="s">
        <v>1555</v>
      </c>
      <c r="E2627" s="83">
        <v>404000</v>
      </c>
      <c r="F2627" s="40" t="s">
        <v>1932</v>
      </c>
    </row>
    <row r="2628" spans="2:6" hidden="1">
      <c r="B2628" s="8">
        <v>2625</v>
      </c>
      <c r="C2628" s="8" t="s">
        <v>730</v>
      </c>
      <c r="D2628" s="8" t="s">
        <v>2277</v>
      </c>
      <c r="E2628" s="39">
        <v>87000</v>
      </c>
      <c r="F2628" s="40" t="s">
        <v>1932</v>
      </c>
    </row>
    <row r="2629" spans="2:6" hidden="1">
      <c r="B2629" s="8">
        <v>2626</v>
      </c>
      <c r="C2629" s="8" t="s">
        <v>736</v>
      </c>
      <c r="D2629" s="8" t="s">
        <v>2248</v>
      </c>
      <c r="E2629" s="39">
        <v>74000</v>
      </c>
      <c r="F2629" s="40" t="s">
        <v>1932</v>
      </c>
    </row>
    <row r="2630" spans="2:6" hidden="1">
      <c r="B2630" s="8">
        <v>2627</v>
      </c>
      <c r="C2630" s="8" t="s">
        <v>738</v>
      </c>
      <c r="D2630" s="8" t="s">
        <v>2278</v>
      </c>
      <c r="E2630" s="39">
        <v>77000</v>
      </c>
      <c r="F2630" s="40" t="s">
        <v>1932</v>
      </c>
    </row>
    <row r="2631" spans="2:6" hidden="1">
      <c r="B2631" s="8">
        <v>2628</v>
      </c>
      <c r="C2631" s="8" t="s">
        <v>738</v>
      </c>
      <c r="D2631" s="8" t="s">
        <v>2279</v>
      </c>
      <c r="E2631" s="39">
        <v>116000</v>
      </c>
      <c r="F2631" s="40" t="s">
        <v>1932</v>
      </c>
    </row>
    <row r="2632" spans="2:6" hidden="1">
      <c r="B2632" s="8">
        <v>2629</v>
      </c>
      <c r="C2632" s="8" t="s">
        <v>749</v>
      </c>
      <c r="D2632" s="8" t="s">
        <v>1641</v>
      </c>
      <c r="E2632" s="39">
        <v>607000</v>
      </c>
      <c r="F2632" s="40" t="s">
        <v>1932</v>
      </c>
    </row>
    <row r="2633" spans="2:6" hidden="1">
      <c r="B2633" s="8">
        <v>2630</v>
      </c>
      <c r="C2633" s="8" t="s">
        <v>2280</v>
      </c>
      <c r="D2633" s="8" t="s">
        <v>1923</v>
      </c>
      <c r="E2633" s="39">
        <v>444000</v>
      </c>
      <c r="F2633" s="40" t="s">
        <v>1932</v>
      </c>
    </row>
    <row r="2634" spans="2:6" hidden="1">
      <c r="B2634" s="8">
        <v>2631</v>
      </c>
      <c r="C2634" s="8" t="s">
        <v>772</v>
      </c>
      <c r="D2634" s="8" t="s">
        <v>2281</v>
      </c>
      <c r="E2634" s="39">
        <v>173000</v>
      </c>
      <c r="F2634" s="40" t="s">
        <v>1932</v>
      </c>
    </row>
    <row r="2635" spans="2:6" hidden="1">
      <c r="B2635" s="8">
        <v>2632</v>
      </c>
      <c r="C2635" s="8" t="s">
        <v>777</v>
      </c>
      <c r="D2635" s="8" t="s">
        <v>734</v>
      </c>
      <c r="E2635" s="39">
        <v>408000</v>
      </c>
      <c r="F2635" s="40" t="s">
        <v>1932</v>
      </c>
    </row>
    <row r="2636" spans="2:6" hidden="1">
      <c r="B2636" s="8">
        <v>2633</v>
      </c>
      <c r="C2636" s="8" t="s">
        <v>777</v>
      </c>
      <c r="D2636" s="8" t="s">
        <v>2282</v>
      </c>
      <c r="E2636" s="39">
        <v>124000</v>
      </c>
      <c r="F2636" s="40" t="s">
        <v>1932</v>
      </c>
    </row>
    <row r="2637" spans="2:6" hidden="1">
      <c r="B2637" s="8">
        <v>2634</v>
      </c>
      <c r="C2637" s="8" t="s">
        <v>790</v>
      </c>
      <c r="D2637" s="8" t="s">
        <v>2283</v>
      </c>
      <c r="E2637" s="39">
        <v>166000</v>
      </c>
      <c r="F2637" s="40" t="s">
        <v>1932</v>
      </c>
    </row>
    <row r="2638" spans="2:6" hidden="1">
      <c r="B2638" s="8">
        <v>2635</v>
      </c>
      <c r="C2638" s="8" t="s">
        <v>797</v>
      </c>
      <c r="D2638" s="8" t="s">
        <v>2284</v>
      </c>
      <c r="E2638" s="39">
        <v>127000</v>
      </c>
      <c r="F2638" s="40" t="s">
        <v>1932</v>
      </c>
    </row>
    <row r="2639" spans="2:6" hidden="1">
      <c r="B2639" s="8">
        <v>2636</v>
      </c>
      <c r="C2639" s="8" t="s">
        <v>797</v>
      </c>
      <c r="D2639" s="8" t="s">
        <v>2285</v>
      </c>
      <c r="E2639" s="39">
        <v>174000</v>
      </c>
      <c r="F2639" s="40" t="s">
        <v>1932</v>
      </c>
    </row>
    <row r="2640" spans="2:6" hidden="1">
      <c r="B2640" s="8">
        <v>2637</v>
      </c>
      <c r="C2640" s="8" t="s">
        <v>1401</v>
      </c>
      <c r="D2640" s="8" t="s">
        <v>2278</v>
      </c>
      <c r="E2640" s="39">
        <v>70000</v>
      </c>
      <c r="F2640" s="40" t="s">
        <v>1932</v>
      </c>
    </row>
    <row r="2641" spans="2:6" hidden="1">
      <c r="B2641" s="8">
        <v>2638</v>
      </c>
      <c r="C2641" s="8" t="s">
        <v>1401</v>
      </c>
      <c r="D2641" s="8" t="s">
        <v>2286</v>
      </c>
      <c r="E2641" s="39">
        <v>175000</v>
      </c>
      <c r="F2641" s="40" t="s">
        <v>1932</v>
      </c>
    </row>
    <row r="2642" spans="2:6" hidden="1">
      <c r="B2642" s="8">
        <v>2639</v>
      </c>
      <c r="C2642" s="8" t="s">
        <v>842</v>
      </c>
      <c r="D2642" s="8" t="s">
        <v>2287</v>
      </c>
      <c r="E2642" s="39">
        <v>614000</v>
      </c>
      <c r="F2642" s="40" t="s">
        <v>1932</v>
      </c>
    </row>
    <row r="2643" spans="2:6" hidden="1">
      <c r="B2643" s="8">
        <v>2640</v>
      </c>
      <c r="C2643" s="8" t="s">
        <v>850</v>
      </c>
      <c r="D2643" s="8" t="s">
        <v>2288</v>
      </c>
      <c r="E2643" s="39">
        <v>158000</v>
      </c>
      <c r="F2643" s="40" t="s">
        <v>1932</v>
      </c>
    </row>
    <row r="2644" spans="2:6" hidden="1">
      <c r="B2644" s="8">
        <v>2641</v>
      </c>
      <c r="C2644" s="8" t="s">
        <v>1444</v>
      </c>
      <c r="D2644" s="8" t="s">
        <v>2289</v>
      </c>
      <c r="E2644" s="39">
        <v>61000</v>
      </c>
      <c r="F2644" s="40" t="s">
        <v>1932</v>
      </c>
    </row>
    <row r="2645" spans="2:6" hidden="1">
      <c r="B2645" s="8">
        <v>2642</v>
      </c>
      <c r="C2645" s="8" t="s">
        <v>913</v>
      </c>
      <c r="D2645" s="8" t="s">
        <v>1872</v>
      </c>
      <c r="E2645" s="39">
        <v>154000</v>
      </c>
      <c r="F2645" s="40" t="s">
        <v>1932</v>
      </c>
    </row>
    <row r="2646" spans="2:6" hidden="1">
      <c r="B2646" s="8">
        <v>2643</v>
      </c>
      <c r="C2646" s="8" t="s">
        <v>914</v>
      </c>
      <c r="D2646" s="8" t="s">
        <v>2290</v>
      </c>
      <c r="E2646" s="39">
        <v>84000</v>
      </c>
      <c r="F2646" s="40" t="s">
        <v>1932</v>
      </c>
    </row>
    <row r="2647" spans="2:6" hidden="1">
      <c r="B2647" s="8">
        <v>2644</v>
      </c>
      <c r="C2647" s="8" t="s">
        <v>914</v>
      </c>
      <c r="D2647" s="8" t="s">
        <v>2291</v>
      </c>
      <c r="E2647" s="39">
        <v>99000</v>
      </c>
      <c r="F2647" s="40" t="s">
        <v>1932</v>
      </c>
    </row>
    <row r="2648" spans="2:6" hidden="1">
      <c r="B2648" s="8">
        <v>2645</v>
      </c>
      <c r="C2648" s="8" t="s">
        <v>914</v>
      </c>
      <c r="D2648" s="8" t="s">
        <v>2292</v>
      </c>
      <c r="E2648" s="39">
        <v>59000</v>
      </c>
      <c r="F2648" s="40" t="s">
        <v>1932</v>
      </c>
    </row>
    <row r="2649" spans="2:6" hidden="1">
      <c r="B2649" s="8">
        <v>2646</v>
      </c>
      <c r="C2649" s="8" t="s">
        <v>1450</v>
      </c>
      <c r="D2649" s="8" t="s">
        <v>2293</v>
      </c>
      <c r="E2649" s="39">
        <v>88000</v>
      </c>
      <c r="F2649" s="40" t="s">
        <v>1932</v>
      </c>
    </row>
    <row r="2650" spans="2:6" hidden="1">
      <c r="B2650" s="8">
        <v>2647</v>
      </c>
      <c r="C2650" s="8" t="s">
        <v>1450</v>
      </c>
      <c r="D2650" s="8" t="s">
        <v>2294</v>
      </c>
      <c r="E2650" s="39">
        <v>53000</v>
      </c>
      <c r="F2650" s="40" t="s">
        <v>1932</v>
      </c>
    </row>
    <row r="2651" spans="2:6" hidden="1">
      <c r="B2651" s="8">
        <v>2648</v>
      </c>
      <c r="C2651" s="8" t="s">
        <v>937</v>
      </c>
      <c r="D2651" s="8" t="s">
        <v>699</v>
      </c>
      <c r="E2651" s="39">
        <v>53000</v>
      </c>
      <c r="F2651" s="40" t="s">
        <v>1932</v>
      </c>
    </row>
    <row r="2652" spans="2:6" hidden="1">
      <c r="B2652" s="8">
        <v>2649</v>
      </c>
      <c r="C2652" s="8" t="s">
        <v>993</v>
      </c>
      <c r="D2652" s="8" t="s">
        <v>2295</v>
      </c>
      <c r="E2652" s="39">
        <v>68000</v>
      </c>
      <c r="F2652" s="40" t="s">
        <v>1932</v>
      </c>
    </row>
    <row r="2653" spans="2:6" hidden="1">
      <c r="B2653" s="8">
        <v>2650</v>
      </c>
      <c r="C2653" s="8" t="s">
        <v>996</v>
      </c>
      <c r="D2653" s="8" t="s">
        <v>2296</v>
      </c>
      <c r="E2653" s="39">
        <v>53000</v>
      </c>
      <c r="F2653" s="40" t="s">
        <v>1932</v>
      </c>
    </row>
    <row r="2654" spans="2:6" hidden="1">
      <c r="B2654" s="8">
        <v>2651</v>
      </c>
      <c r="C2654" s="8" t="s">
        <v>2297</v>
      </c>
      <c r="D2654" s="8" t="s">
        <v>2298</v>
      </c>
      <c r="E2654" s="39">
        <v>691000</v>
      </c>
      <c r="F2654" s="40" t="s">
        <v>1932</v>
      </c>
    </row>
    <row r="2655" spans="2:6" hidden="1">
      <c r="B2655" s="8">
        <v>2652</v>
      </c>
      <c r="C2655" s="8" t="s">
        <v>2297</v>
      </c>
      <c r="D2655" s="8" t="s">
        <v>734</v>
      </c>
      <c r="E2655" s="39">
        <v>234000</v>
      </c>
      <c r="F2655" s="40" t="s">
        <v>1932</v>
      </c>
    </row>
    <row r="2656" spans="2:6" hidden="1">
      <c r="B2656" s="8">
        <v>2653</v>
      </c>
      <c r="C2656" s="8" t="s">
        <v>1014</v>
      </c>
      <c r="D2656" s="8" t="s">
        <v>2299</v>
      </c>
      <c r="E2656" s="39">
        <v>137000</v>
      </c>
      <c r="F2656" s="40" t="s">
        <v>1932</v>
      </c>
    </row>
    <row r="2657" spans="2:6" hidden="1">
      <c r="B2657" s="8">
        <v>2654</v>
      </c>
      <c r="C2657" s="8" t="s">
        <v>2300</v>
      </c>
      <c r="D2657" s="8" t="s">
        <v>2301</v>
      </c>
      <c r="E2657" s="39">
        <v>109000</v>
      </c>
      <c r="F2657" s="40" t="s">
        <v>1932</v>
      </c>
    </row>
    <row r="2658" spans="2:6" hidden="1">
      <c r="B2658" s="8">
        <v>2655</v>
      </c>
      <c r="C2658" s="8" t="s">
        <v>1858</v>
      </c>
      <c r="D2658" s="8" t="s">
        <v>2302</v>
      </c>
      <c r="E2658" s="39">
        <v>108000</v>
      </c>
      <c r="F2658" s="40" t="s">
        <v>1932</v>
      </c>
    </row>
    <row r="2659" spans="2:6" hidden="1">
      <c r="B2659" s="8">
        <v>2656</v>
      </c>
      <c r="C2659" s="8" t="s">
        <v>1035</v>
      </c>
      <c r="D2659" s="8" t="s">
        <v>2303</v>
      </c>
      <c r="E2659" s="39">
        <v>267000</v>
      </c>
      <c r="F2659" s="40" t="s">
        <v>1932</v>
      </c>
    </row>
    <row r="2660" spans="2:6" hidden="1">
      <c r="B2660" s="8">
        <v>2657</v>
      </c>
      <c r="C2660" s="8" t="s">
        <v>1517</v>
      </c>
      <c r="D2660" s="8" t="s">
        <v>2304</v>
      </c>
      <c r="E2660" s="39">
        <v>500000</v>
      </c>
      <c r="F2660" s="40" t="s">
        <v>1932</v>
      </c>
    </row>
    <row r="2661" spans="2:6" hidden="1">
      <c r="B2661" s="8">
        <v>2658</v>
      </c>
      <c r="C2661" s="8" t="s">
        <v>1517</v>
      </c>
      <c r="D2661" s="8" t="s">
        <v>2305</v>
      </c>
      <c r="E2661" s="39">
        <v>290000</v>
      </c>
      <c r="F2661" s="40" t="s">
        <v>1932</v>
      </c>
    </row>
    <row r="2662" spans="2:6" hidden="1">
      <c r="B2662" s="8">
        <v>2659</v>
      </c>
      <c r="C2662" s="8" t="s">
        <v>1517</v>
      </c>
      <c r="D2662" s="8" t="s">
        <v>2306</v>
      </c>
      <c r="E2662" s="39">
        <v>193000</v>
      </c>
      <c r="F2662" s="40" t="s">
        <v>1932</v>
      </c>
    </row>
    <row r="2663" spans="2:6" hidden="1">
      <c r="B2663" s="8">
        <v>2660</v>
      </c>
      <c r="C2663" s="8" t="s">
        <v>2307</v>
      </c>
      <c r="D2663" s="8" t="s">
        <v>2270</v>
      </c>
      <c r="E2663" s="39">
        <v>64000</v>
      </c>
      <c r="F2663" s="40" t="s">
        <v>1932</v>
      </c>
    </row>
    <row r="2664" spans="2:6" hidden="1">
      <c r="B2664" s="8">
        <v>2661</v>
      </c>
      <c r="C2664" s="8" t="s">
        <v>2308</v>
      </c>
      <c r="D2664" s="8" t="s">
        <v>734</v>
      </c>
      <c r="E2664" s="39">
        <v>344000</v>
      </c>
      <c r="F2664" s="40" t="s">
        <v>1932</v>
      </c>
    </row>
    <row r="2665" spans="2:6" hidden="1">
      <c r="B2665" s="8">
        <v>2662</v>
      </c>
      <c r="C2665" s="8" t="s">
        <v>2309</v>
      </c>
      <c r="D2665" s="8" t="s">
        <v>2310</v>
      </c>
      <c r="E2665" s="39">
        <v>56000</v>
      </c>
      <c r="F2665" s="40" t="s">
        <v>1932</v>
      </c>
    </row>
    <row r="2666" spans="2:6" hidden="1">
      <c r="B2666" s="8">
        <v>2663</v>
      </c>
      <c r="C2666" s="8" t="s">
        <v>2311</v>
      </c>
      <c r="D2666" s="8" t="s">
        <v>2312</v>
      </c>
      <c r="E2666" s="39">
        <v>164000</v>
      </c>
      <c r="F2666" s="40" t="s">
        <v>1932</v>
      </c>
    </row>
    <row r="2667" spans="2:6" hidden="1">
      <c r="B2667" s="8">
        <v>2664</v>
      </c>
      <c r="C2667" s="8" t="s">
        <v>2313</v>
      </c>
      <c r="D2667" s="8" t="s">
        <v>211</v>
      </c>
      <c r="E2667" s="39">
        <v>84000</v>
      </c>
      <c r="F2667" s="40" t="s">
        <v>1932</v>
      </c>
    </row>
    <row r="2668" spans="2:6">
      <c r="B2668" s="8">
        <v>2665</v>
      </c>
      <c r="C2668" s="8" t="s">
        <v>1590</v>
      </c>
      <c r="D2668" s="8" t="s">
        <v>2314</v>
      </c>
      <c r="E2668" s="39">
        <v>980000</v>
      </c>
      <c r="F2668" s="40" t="s">
        <v>2315</v>
      </c>
    </row>
    <row r="2669" spans="2:6">
      <c r="B2669" s="8">
        <v>2666</v>
      </c>
      <c r="C2669" s="8" t="s">
        <v>619</v>
      </c>
      <c r="D2669" s="8" t="s">
        <v>2316</v>
      </c>
      <c r="E2669" s="39">
        <v>13730000</v>
      </c>
      <c r="F2669" s="40" t="s">
        <v>2315</v>
      </c>
    </row>
    <row r="2670" spans="2:6">
      <c r="B2670" s="8">
        <v>2667</v>
      </c>
      <c r="C2670" s="8" t="s">
        <v>1523</v>
      </c>
      <c r="D2670" s="8" t="s">
        <v>2317</v>
      </c>
      <c r="E2670" s="39">
        <v>1290000</v>
      </c>
      <c r="F2670" s="40" t="s">
        <v>2315</v>
      </c>
    </row>
    <row r="2671" spans="2:6">
      <c r="B2671" s="8">
        <v>2668</v>
      </c>
      <c r="C2671" s="8" t="s">
        <v>722</v>
      </c>
      <c r="D2671" s="8" t="s">
        <v>2318</v>
      </c>
      <c r="E2671" s="39">
        <v>1090909</v>
      </c>
      <c r="F2671" s="40" t="s">
        <v>2315</v>
      </c>
    </row>
    <row r="2672" spans="2:6">
      <c r="B2672" s="8">
        <v>2669</v>
      </c>
      <c r="C2672" s="8" t="s">
        <v>194</v>
      </c>
      <c r="D2672" s="8" t="s">
        <v>2319</v>
      </c>
      <c r="E2672" s="39">
        <v>664000</v>
      </c>
      <c r="F2672" s="40" t="s">
        <v>2315</v>
      </c>
    </row>
    <row r="2673" spans="2:6">
      <c r="B2673" s="8">
        <v>2670</v>
      </c>
      <c r="C2673" s="8" t="s">
        <v>194</v>
      </c>
      <c r="D2673" s="8" t="s">
        <v>2320</v>
      </c>
      <c r="E2673" s="39">
        <v>417000</v>
      </c>
      <c r="F2673" s="40" t="s">
        <v>2315</v>
      </c>
    </row>
    <row r="2674" spans="2:6">
      <c r="B2674" s="8">
        <v>2671</v>
      </c>
      <c r="C2674" s="8" t="s">
        <v>194</v>
      </c>
      <c r="D2674" s="8" t="s">
        <v>1985</v>
      </c>
      <c r="E2674" s="39">
        <v>4103000</v>
      </c>
      <c r="F2674" s="40" t="s">
        <v>2315</v>
      </c>
    </row>
    <row r="2675" spans="2:6">
      <c r="B2675" s="8">
        <v>2672</v>
      </c>
      <c r="C2675" s="8" t="s">
        <v>1556</v>
      </c>
      <c r="D2675" s="8" t="s">
        <v>2321</v>
      </c>
      <c r="E2675" s="39">
        <v>92000</v>
      </c>
      <c r="F2675" s="40" t="s">
        <v>2315</v>
      </c>
    </row>
    <row r="2676" spans="2:6">
      <c r="B2676" s="8">
        <v>2673</v>
      </c>
      <c r="C2676" s="8" t="s">
        <v>1556</v>
      </c>
      <c r="D2676" s="8" t="s">
        <v>2322</v>
      </c>
      <c r="E2676" s="39">
        <v>442000</v>
      </c>
      <c r="F2676" s="40" t="s">
        <v>2315</v>
      </c>
    </row>
    <row r="2677" spans="2:6">
      <c r="B2677" s="8">
        <v>2674</v>
      </c>
      <c r="C2677" s="8" t="s">
        <v>207</v>
      </c>
      <c r="D2677" s="8" t="s">
        <v>1597</v>
      </c>
      <c r="E2677" s="39">
        <v>401000</v>
      </c>
      <c r="F2677" s="40" t="s">
        <v>2315</v>
      </c>
    </row>
    <row r="2678" spans="2:6">
      <c r="B2678" s="8">
        <v>2675</v>
      </c>
      <c r="C2678" s="8" t="s">
        <v>208</v>
      </c>
      <c r="D2678" s="8" t="s">
        <v>2323</v>
      </c>
      <c r="E2678" s="39">
        <v>342000</v>
      </c>
      <c r="F2678" s="40" t="s">
        <v>2315</v>
      </c>
    </row>
    <row r="2679" spans="2:6">
      <c r="B2679" s="8">
        <v>2676</v>
      </c>
      <c r="C2679" s="8" t="s">
        <v>210</v>
      </c>
      <c r="D2679" s="8" t="s">
        <v>319</v>
      </c>
      <c r="E2679" s="39">
        <v>477000</v>
      </c>
      <c r="F2679" s="40" t="s">
        <v>2315</v>
      </c>
    </row>
    <row r="2680" spans="2:6">
      <c r="B2680" s="8">
        <v>2677</v>
      </c>
      <c r="C2680" s="8" t="s">
        <v>212</v>
      </c>
      <c r="D2680" s="8" t="s">
        <v>317</v>
      </c>
      <c r="E2680" s="39">
        <v>124000</v>
      </c>
      <c r="F2680" s="40" t="s">
        <v>2315</v>
      </c>
    </row>
    <row r="2681" spans="2:6">
      <c r="B2681" s="8">
        <v>2678</v>
      </c>
      <c r="C2681" s="8" t="s">
        <v>212</v>
      </c>
      <c r="D2681" s="8" t="s">
        <v>198</v>
      </c>
      <c r="E2681" s="39">
        <v>491000</v>
      </c>
      <c r="F2681" s="40" t="s">
        <v>2315</v>
      </c>
    </row>
    <row r="2682" spans="2:6">
      <c r="B2682" s="8">
        <v>2679</v>
      </c>
      <c r="C2682" s="8" t="s">
        <v>214</v>
      </c>
      <c r="D2682" s="8" t="s">
        <v>1806</v>
      </c>
      <c r="E2682" s="39">
        <v>218000</v>
      </c>
      <c r="F2682" s="40" t="s">
        <v>2315</v>
      </c>
    </row>
    <row r="2683" spans="2:6">
      <c r="B2683" s="8">
        <v>2680</v>
      </c>
      <c r="C2683" s="8" t="s">
        <v>214</v>
      </c>
      <c r="D2683" s="8" t="s">
        <v>2324</v>
      </c>
      <c r="E2683" s="39">
        <v>53000</v>
      </c>
      <c r="F2683" s="40" t="s">
        <v>2315</v>
      </c>
    </row>
    <row r="2684" spans="2:6">
      <c r="B2684" s="8">
        <v>2681</v>
      </c>
      <c r="C2684" s="8" t="s">
        <v>220</v>
      </c>
      <c r="D2684" s="8" t="s">
        <v>345</v>
      </c>
      <c r="E2684" s="39">
        <v>196000</v>
      </c>
      <c r="F2684" s="40" t="s">
        <v>2315</v>
      </c>
    </row>
    <row r="2685" spans="2:6">
      <c r="B2685" s="8">
        <v>2682</v>
      </c>
      <c r="C2685" s="8" t="s">
        <v>1104</v>
      </c>
      <c r="D2685" s="8" t="s">
        <v>1806</v>
      </c>
      <c r="E2685" s="39">
        <v>150000</v>
      </c>
      <c r="F2685" s="40" t="s">
        <v>2315</v>
      </c>
    </row>
    <row r="2686" spans="2:6">
      <c r="B2686" s="8">
        <v>2683</v>
      </c>
      <c r="C2686" s="8" t="s">
        <v>1105</v>
      </c>
      <c r="D2686" s="8" t="s">
        <v>640</v>
      </c>
      <c r="E2686" s="39">
        <v>129000</v>
      </c>
      <c r="F2686" s="40" t="s">
        <v>2315</v>
      </c>
    </row>
    <row r="2687" spans="2:6">
      <c r="B2687" s="8">
        <v>2684</v>
      </c>
      <c r="C2687" s="8" t="s">
        <v>1105</v>
      </c>
      <c r="D2687" s="8" t="s">
        <v>2324</v>
      </c>
      <c r="E2687" s="39">
        <v>80000</v>
      </c>
      <c r="F2687" s="40" t="s">
        <v>2315</v>
      </c>
    </row>
    <row r="2688" spans="2:6">
      <c r="B2688" s="8">
        <v>2685</v>
      </c>
      <c r="C2688" s="8" t="s">
        <v>1560</v>
      </c>
      <c r="D2688" s="8" t="s">
        <v>211</v>
      </c>
      <c r="E2688" s="39">
        <v>232000</v>
      </c>
      <c r="F2688" s="40" t="s">
        <v>2315</v>
      </c>
    </row>
    <row r="2689" spans="2:6">
      <c r="B2689" s="8">
        <v>2686</v>
      </c>
      <c r="C2689" s="8" t="s">
        <v>1560</v>
      </c>
      <c r="D2689" s="8" t="s">
        <v>2325</v>
      </c>
      <c r="E2689" s="39">
        <v>403000</v>
      </c>
      <c r="F2689" s="40" t="s">
        <v>2315</v>
      </c>
    </row>
    <row r="2690" spans="2:6">
      <c r="B2690" s="8">
        <v>2687</v>
      </c>
      <c r="C2690" s="8" t="s">
        <v>1560</v>
      </c>
      <c r="D2690" s="8" t="s">
        <v>2326</v>
      </c>
      <c r="E2690" s="39">
        <v>99000</v>
      </c>
      <c r="F2690" s="40" t="s">
        <v>2315</v>
      </c>
    </row>
    <row r="2691" spans="2:6">
      <c r="B2691" s="8">
        <v>2688</v>
      </c>
      <c r="C2691" s="8" t="s">
        <v>224</v>
      </c>
      <c r="D2691" s="8" t="s">
        <v>319</v>
      </c>
      <c r="E2691" s="39">
        <v>185000</v>
      </c>
      <c r="F2691" s="40" t="s">
        <v>2315</v>
      </c>
    </row>
    <row r="2692" spans="2:6">
      <c r="B2692" s="8">
        <v>2689</v>
      </c>
      <c r="C2692" s="8" t="s">
        <v>2327</v>
      </c>
      <c r="D2692" s="8" t="s">
        <v>2328</v>
      </c>
      <c r="E2692" s="39">
        <v>200000</v>
      </c>
      <c r="F2692" s="40" t="s">
        <v>2315</v>
      </c>
    </row>
    <row r="2693" spans="2:6">
      <c r="B2693" s="8">
        <v>2690</v>
      </c>
      <c r="C2693" s="8" t="s">
        <v>230</v>
      </c>
      <c r="D2693" s="8" t="s">
        <v>1232</v>
      </c>
      <c r="E2693" s="39">
        <v>261000</v>
      </c>
      <c r="F2693" s="40" t="s">
        <v>2315</v>
      </c>
    </row>
    <row r="2694" spans="2:6">
      <c r="B2694" s="8">
        <v>2691</v>
      </c>
      <c r="C2694" s="8" t="s">
        <v>230</v>
      </c>
      <c r="D2694" s="8" t="s">
        <v>2329</v>
      </c>
      <c r="E2694" s="39">
        <v>154000</v>
      </c>
      <c r="F2694" s="40" t="s">
        <v>2315</v>
      </c>
    </row>
    <row r="2695" spans="2:6">
      <c r="B2695" s="8">
        <v>2692</v>
      </c>
      <c r="C2695" s="8" t="s">
        <v>230</v>
      </c>
      <c r="D2695" s="8" t="s">
        <v>339</v>
      </c>
      <c r="E2695" s="39">
        <v>245000</v>
      </c>
      <c r="F2695" s="40" t="s">
        <v>2315</v>
      </c>
    </row>
    <row r="2696" spans="2:6">
      <c r="B2696" s="8">
        <v>2693</v>
      </c>
      <c r="C2696" s="8" t="s">
        <v>232</v>
      </c>
      <c r="D2696" s="8" t="s">
        <v>2330</v>
      </c>
      <c r="E2696" s="39">
        <v>245000</v>
      </c>
      <c r="F2696" s="40" t="s">
        <v>2315</v>
      </c>
    </row>
    <row r="2697" spans="2:6">
      <c r="B2697" s="8">
        <v>2694</v>
      </c>
      <c r="C2697" s="8" t="s">
        <v>232</v>
      </c>
      <c r="D2697" s="8" t="s">
        <v>2324</v>
      </c>
      <c r="E2697" s="39">
        <v>80000</v>
      </c>
      <c r="F2697" s="40" t="s">
        <v>2315</v>
      </c>
    </row>
    <row r="2698" spans="2:6">
      <c r="B2698" s="8">
        <v>2695</v>
      </c>
      <c r="C2698" s="8" t="s">
        <v>1111</v>
      </c>
      <c r="D2698" s="8" t="s">
        <v>317</v>
      </c>
      <c r="E2698" s="39">
        <v>128000</v>
      </c>
      <c r="F2698" s="40" t="s">
        <v>2315</v>
      </c>
    </row>
    <row r="2699" spans="2:6">
      <c r="B2699" s="8">
        <v>2696</v>
      </c>
      <c r="C2699" s="8" t="s">
        <v>1111</v>
      </c>
      <c r="D2699" s="8" t="s">
        <v>2152</v>
      </c>
      <c r="E2699" s="39">
        <v>123000</v>
      </c>
      <c r="F2699" s="40" t="s">
        <v>2315</v>
      </c>
    </row>
    <row r="2700" spans="2:6">
      <c r="B2700" s="8">
        <v>2697</v>
      </c>
      <c r="C2700" s="8" t="s">
        <v>1113</v>
      </c>
      <c r="D2700" s="8" t="s">
        <v>2331</v>
      </c>
      <c r="E2700" s="39">
        <v>103000</v>
      </c>
      <c r="F2700" s="40" t="s">
        <v>2315</v>
      </c>
    </row>
    <row r="2701" spans="2:6">
      <c r="B2701" s="8">
        <v>2698</v>
      </c>
      <c r="C2701" s="8" t="s">
        <v>1113</v>
      </c>
      <c r="D2701" s="8" t="s">
        <v>1127</v>
      </c>
      <c r="E2701" s="39">
        <v>56000</v>
      </c>
      <c r="F2701" s="40" t="s">
        <v>2315</v>
      </c>
    </row>
    <row r="2702" spans="2:6">
      <c r="B2702" s="8">
        <v>2699</v>
      </c>
      <c r="C2702" s="8" t="s">
        <v>1113</v>
      </c>
      <c r="D2702" s="8" t="s">
        <v>211</v>
      </c>
      <c r="E2702" s="39">
        <v>347000</v>
      </c>
      <c r="F2702" s="40" t="s">
        <v>2315</v>
      </c>
    </row>
    <row r="2703" spans="2:6">
      <c r="B2703" s="8">
        <v>2700</v>
      </c>
      <c r="C2703" s="8" t="s">
        <v>1113</v>
      </c>
      <c r="D2703" s="8" t="s">
        <v>2332</v>
      </c>
      <c r="E2703" s="39">
        <v>1971000</v>
      </c>
      <c r="F2703" s="40" t="s">
        <v>2315</v>
      </c>
    </row>
    <row r="2704" spans="2:6">
      <c r="B2704" s="8">
        <v>2701</v>
      </c>
      <c r="C2704" s="8" t="s">
        <v>1113</v>
      </c>
      <c r="D2704" s="8" t="s">
        <v>317</v>
      </c>
      <c r="E2704" s="39">
        <v>81000</v>
      </c>
      <c r="F2704" s="40" t="s">
        <v>2315</v>
      </c>
    </row>
    <row r="2705" spans="2:6">
      <c r="B2705" s="8">
        <v>2702</v>
      </c>
      <c r="C2705" s="8" t="s">
        <v>1113</v>
      </c>
      <c r="D2705" s="8" t="s">
        <v>289</v>
      </c>
      <c r="E2705" s="39">
        <v>63000</v>
      </c>
      <c r="F2705" s="40" t="s">
        <v>2315</v>
      </c>
    </row>
    <row r="2706" spans="2:6">
      <c r="B2706" s="8">
        <v>2703</v>
      </c>
      <c r="C2706" s="8" t="s">
        <v>242</v>
      </c>
      <c r="D2706" s="8" t="s">
        <v>2333</v>
      </c>
      <c r="E2706" s="39">
        <v>303000</v>
      </c>
      <c r="F2706" s="40" t="s">
        <v>2315</v>
      </c>
    </row>
    <row r="2707" spans="2:6">
      <c r="B2707" s="8">
        <v>2704</v>
      </c>
      <c r="C2707" s="8" t="s">
        <v>242</v>
      </c>
      <c r="D2707" s="8" t="s">
        <v>2334</v>
      </c>
      <c r="E2707" s="39">
        <v>413000</v>
      </c>
      <c r="F2707" s="40" t="s">
        <v>2315</v>
      </c>
    </row>
    <row r="2708" spans="2:6">
      <c r="B2708" s="8">
        <v>2705</v>
      </c>
      <c r="C2708" s="8" t="s">
        <v>242</v>
      </c>
      <c r="D2708" s="8" t="s">
        <v>994</v>
      </c>
      <c r="E2708" s="39">
        <v>306000</v>
      </c>
      <c r="F2708" s="40" t="s">
        <v>2315</v>
      </c>
    </row>
    <row r="2709" spans="2:6">
      <c r="B2709" s="8">
        <v>2706</v>
      </c>
      <c r="C2709" s="8" t="s">
        <v>242</v>
      </c>
      <c r="D2709" s="8" t="s">
        <v>2335</v>
      </c>
      <c r="E2709" s="39">
        <v>2858000</v>
      </c>
      <c r="F2709" s="40" t="s">
        <v>2315</v>
      </c>
    </row>
    <row r="2710" spans="2:6">
      <c r="B2710" s="8">
        <v>2707</v>
      </c>
      <c r="C2710" s="8" t="s">
        <v>1566</v>
      </c>
      <c r="D2710" s="8" t="s">
        <v>317</v>
      </c>
      <c r="E2710" s="39">
        <v>136000</v>
      </c>
      <c r="F2710" s="40" t="s">
        <v>2315</v>
      </c>
    </row>
    <row r="2711" spans="2:6">
      <c r="B2711" s="8">
        <v>2708</v>
      </c>
      <c r="C2711" s="8" t="s">
        <v>1115</v>
      </c>
      <c r="D2711" s="8" t="s">
        <v>2336</v>
      </c>
      <c r="E2711" s="39">
        <v>1035000</v>
      </c>
      <c r="F2711" s="40" t="s">
        <v>2315</v>
      </c>
    </row>
    <row r="2712" spans="2:6">
      <c r="B2712" s="8">
        <v>2709</v>
      </c>
      <c r="C2712" s="8" t="s">
        <v>248</v>
      </c>
      <c r="D2712" s="8" t="s">
        <v>319</v>
      </c>
      <c r="E2712" s="39">
        <v>146000</v>
      </c>
      <c r="F2712" s="40" t="s">
        <v>2315</v>
      </c>
    </row>
    <row r="2713" spans="2:6">
      <c r="B2713" s="8">
        <v>2710</v>
      </c>
      <c r="C2713" s="8" t="s">
        <v>1568</v>
      </c>
      <c r="D2713" s="8" t="s">
        <v>2337</v>
      </c>
      <c r="E2713" s="39">
        <v>112000</v>
      </c>
      <c r="F2713" s="40" t="s">
        <v>2315</v>
      </c>
    </row>
    <row r="2714" spans="2:6">
      <c r="B2714" s="8">
        <v>2711</v>
      </c>
      <c r="C2714" s="8" t="s">
        <v>254</v>
      </c>
      <c r="D2714" s="8" t="s">
        <v>198</v>
      </c>
      <c r="E2714" s="39">
        <v>444000</v>
      </c>
      <c r="F2714" s="40" t="s">
        <v>2315</v>
      </c>
    </row>
    <row r="2715" spans="2:6">
      <c r="B2715" s="8">
        <v>2712</v>
      </c>
      <c r="C2715" s="8" t="s">
        <v>1570</v>
      </c>
      <c r="D2715" s="8" t="s">
        <v>198</v>
      </c>
      <c r="E2715" s="39">
        <v>1115000</v>
      </c>
      <c r="F2715" s="40" t="s">
        <v>2315</v>
      </c>
    </row>
    <row r="2716" spans="2:6">
      <c r="B2716" s="8">
        <v>2713</v>
      </c>
      <c r="C2716" s="8" t="s">
        <v>1570</v>
      </c>
      <c r="D2716" s="8" t="s">
        <v>1272</v>
      </c>
      <c r="E2716" s="39">
        <v>53000</v>
      </c>
      <c r="F2716" s="40" t="s">
        <v>2315</v>
      </c>
    </row>
    <row r="2717" spans="2:6">
      <c r="B2717" s="8">
        <v>2714</v>
      </c>
      <c r="C2717" s="8" t="s">
        <v>260</v>
      </c>
      <c r="D2717" s="8" t="s">
        <v>1691</v>
      </c>
      <c r="E2717" s="39">
        <v>12000</v>
      </c>
      <c r="F2717" s="40" t="s">
        <v>2315</v>
      </c>
    </row>
    <row r="2718" spans="2:6">
      <c r="B2718" s="8">
        <v>2715</v>
      </c>
      <c r="C2718" s="8" t="s">
        <v>260</v>
      </c>
      <c r="D2718" s="8" t="s">
        <v>453</v>
      </c>
      <c r="E2718" s="39">
        <v>72000</v>
      </c>
      <c r="F2718" s="40" t="s">
        <v>2315</v>
      </c>
    </row>
    <row r="2719" spans="2:6">
      <c r="B2719" s="8">
        <v>2716</v>
      </c>
      <c r="C2719" s="8" t="s">
        <v>263</v>
      </c>
      <c r="D2719" s="8" t="s">
        <v>317</v>
      </c>
      <c r="E2719" s="39">
        <v>227000</v>
      </c>
      <c r="F2719" s="40" t="s">
        <v>2315</v>
      </c>
    </row>
    <row r="2720" spans="2:6">
      <c r="B2720" s="8">
        <v>2717</v>
      </c>
      <c r="C2720" s="8" t="s">
        <v>263</v>
      </c>
      <c r="D2720" s="8" t="s">
        <v>1411</v>
      </c>
      <c r="E2720" s="39">
        <v>332000</v>
      </c>
      <c r="F2720" s="40" t="s">
        <v>2315</v>
      </c>
    </row>
    <row r="2721" spans="2:6">
      <c r="B2721" s="8">
        <v>2718</v>
      </c>
      <c r="C2721" s="8" t="s">
        <v>263</v>
      </c>
      <c r="D2721" s="8" t="s">
        <v>2338</v>
      </c>
      <c r="E2721" s="39">
        <v>618000</v>
      </c>
      <c r="F2721" s="40" t="s">
        <v>2315</v>
      </c>
    </row>
    <row r="2722" spans="2:6">
      <c r="B2722" s="8">
        <v>2719</v>
      </c>
      <c r="C2722" s="8" t="s">
        <v>266</v>
      </c>
      <c r="D2722" s="8" t="s">
        <v>2339</v>
      </c>
      <c r="E2722" s="39">
        <v>103000</v>
      </c>
      <c r="F2722" s="40" t="s">
        <v>2315</v>
      </c>
    </row>
    <row r="2723" spans="2:6">
      <c r="B2723" s="8">
        <v>2720</v>
      </c>
      <c r="C2723" s="8" t="s">
        <v>1123</v>
      </c>
      <c r="D2723" s="8" t="s">
        <v>217</v>
      </c>
      <c r="E2723" s="39">
        <v>1759000</v>
      </c>
      <c r="F2723" s="40" t="s">
        <v>2315</v>
      </c>
    </row>
    <row r="2724" spans="2:6">
      <c r="B2724" s="8">
        <v>2721</v>
      </c>
      <c r="C2724" s="8" t="s">
        <v>268</v>
      </c>
      <c r="D2724" s="8" t="s">
        <v>2340</v>
      </c>
      <c r="E2724" s="39">
        <v>1339000</v>
      </c>
      <c r="F2724" s="40" t="s">
        <v>2315</v>
      </c>
    </row>
    <row r="2725" spans="2:6">
      <c r="B2725" s="8">
        <v>2722</v>
      </c>
      <c r="C2725" s="8" t="s">
        <v>268</v>
      </c>
      <c r="D2725" s="8" t="s">
        <v>345</v>
      </c>
      <c r="E2725" s="39">
        <v>211000</v>
      </c>
      <c r="F2725" s="40" t="s">
        <v>2315</v>
      </c>
    </row>
    <row r="2726" spans="2:6">
      <c r="B2726" s="8">
        <v>2723</v>
      </c>
      <c r="C2726" s="8" t="s">
        <v>269</v>
      </c>
      <c r="D2726" s="8" t="s">
        <v>345</v>
      </c>
      <c r="E2726" s="39">
        <v>1034000</v>
      </c>
      <c r="F2726" s="40" t="s">
        <v>2315</v>
      </c>
    </row>
    <row r="2727" spans="2:6">
      <c r="B2727" s="8">
        <v>2724</v>
      </c>
      <c r="C2727" s="8" t="s">
        <v>2341</v>
      </c>
      <c r="D2727" s="8" t="s">
        <v>2342</v>
      </c>
      <c r="E2727" s="39">
        <v>317000</v>
      </c>
      <c r="F2727" s="40" t="s">
        <v>2315</v>
      </c>
    </row>
    <row r="2728" spans="2:6">
      <c r="B2728" s="8">
        <v>2725</v>
      </c>
      <c r="C2728" s="8" t="s">
        <v>2341</v>
      </c>
      <c r="D2728" s="8" t="s">
        <v>2343</v>
      </c>
      <c r="E2728" s="39">
        <v>127000</v>
      </c>
      <c r="F2728" s="40" t="s">
        <v>2315</v>
      </c>
    </row>
    <row r="2729" spans="2:6">
      <c r="B2729" s="8">
        <v>2726</v>
      </c>
      <c r="C2729" s="8" t="s">
        <v>2341</v>
      </c>
      <c r="D2729" s="8" t="s">
        <v>217</v>
      </c>
      <c r="E2729" s="39">
        <v>455000</v>
      </c>
      <c r="F2729" s="40" t="s">
        <v>2315</v>
      </c>
    </row>
    <row r="2730" spans="2:6">
      <c r="B2730" s="8">
        <v>2727</v>
      </c>
      <c r="C2730" s="8" t="s">
        <v>285</v>
      </c>
      <c r="D2730" s="8" t="s">
        <v>2344</v>
      </c>
      <c r="E2730" s="39">
        <v>41000</v>
      </c>
      <c r="F2730" s="40" t="s">
        <v>2315</v>
      </c>
    </row>
    <row r="2731" spans="2:6">
      <c r="B2731" s="8">
        <v>2728</v>
      </c>
      <c r="C2731" s="8" t="s">
        <v>285</v>
      </c>
      <c r="D2731" s="8" t="s">
        <v>198</v>
      </c>
      <c r="E2731" s="39">
        <v>1466000</v>
      </c>
      <c r="F2731" s="40" t="s">
        <v>2315</v>
      </c>
    </row>
    <row r="2732" spans="2:6">
      <c r="B2732" s="8">
        <v>2729</v>
      </c>
      <c r="C2732" s="8" t="s">
        <v>1126</v>
      </c>
      <c r="D2732" s="8" t="s">
        <v>198</v>
      </c>
      <c r="E2732" s="39">
        <v>593000</v>
      </c>
      <c r="F2732" s="40" t="s">
        <v>2315</v>
      </c>
    </row>
    <row r="2733" spans="2:6">
      <c r="B2733" s="8">
        <v>2730</v>
      </c>
      <c r="C2733" s="8" t="s">
        <v>293</v>
      </c>
      <c r="D2733" s="8" t="s">
        <v>345</v>
      </c>
      <c r="E2733" s="39">
        <v>993000</v>
      </c>
      <c r="F2733" s="40" t="s">
        <v>2315</v>
      </c>
    </row>
    <row r="2734" spans="2:6">
      <c r="B2734" s="8">
        <v>2731</v>
      </c>
      <c r="C2734" s="8" t="s">
        <v>298</v>
      </c>
      <c r="D2734" s="8" t="s">
        <v>345</v>
      </c>
      <c r="E2734" s="39">
        <v>678000</v>
      </c>
      <c r="F2734" s="40" t="s">
        <v>2315</v>
      </c>
    </row>
    <row r="2735" spans="2:6">
      <c r="B2735" s="8">
        <v>2732</v>
      </c>
      <c r="C2735" s="8" t="s">
        <v>298</v>
      </c>
      <c r="D2735" s="8" t="s">
        <v>2345</v>
      </c>
      <c r="E2735" s="39">
        <v>106000</v>
      </c>
      <c r="F2735" s="40" t="s">
        <v>2315</v>
      </c>
    </row>
    <row r="2736" spans="2:6">
      <c r="B2736" s="8">
        <v>2733</v>
      </c>
      <c r="C2736" s="8" t="s">
        <v>302</v>
      </c>
      <c r="D2736" s="8" t="s">
        <v>2346</v>
      </c>
      <c r="E2736" s="39">
        <v>1979000</v>
      </c>
      <c r="F2736" s="40" t="s">
        <v>2315</v>
      </c>
    </row>
    <row r="2737" spans="2:6">
      <c r="B2737" s="8">
        <v>2734</v>
      </c>
      <c r="C2737" s="8" t="s">
        <v>302</v>
      </c>
      <c r="D2737" s="8" t="s">
        <v>317</v>
      </c>
      <c r="E2737" s="39">
        <v>240000</v>
      </c>
      <c r="F2737" s="40" t="s">
        <v>2315</v>
      </c>
    </row>
    <row r="2738" spans="2:6">
      <c r="B2738" s="8">
        <v>2735</v>
      </c>
      <c r="C2738" s="8" t="s">
        <v>308</v>
      </c>
      <c r="D2738" s="8" t="s">
        <v>198</v>
      </c>
      <c r="E2738" s="39">
        <v>844000</v>
      </c>
      <c r="F2738" s="40" t="s">
        <v>2315</v>
      </c>
    </row>
    <row r="2739" spans="2:6">
      <c r="B2739" s="8">
        <v>2736</v>
      </c>
      <c r="C2739" s="8" t="s">
        <v>308</v>
      </c>
      <c r="D2739" s="8" t="s">
        <v>608</v>
      </c>
      <c r="E2739" s="39">
        <v>154000</v>
      </c>
      <c r="F2739" s="40" t="s">
        <v>2315</v>
      </c>
    </row>
    <row r="2740" spans="2:6">
      <c r="B2740" s="8">
        <v>2737</v>
      </c>
      <c r="C2740" s="8" t="s">
        <v>308</v>
      </c>
      <c r="D2740" s="8" t="s">
        <v>317</v>
      </c>
      <c r="E2740" s="39">
        <v>232000</v>
      </c>
      <c r="F2740" s="40" t="s">
        <v>2315</v>
      </c>
    </row>
    <row r="2741" spans="2:6">
      <c r="B2741" s="8">
        <v>2738</v>
      </c>
      <c r="C2741" s="8" t="s">
        <v>315</v>
      </c>
      <c r="D2741" s="8" t="s">
        <v>1294</v>
      </c>
      <c r="E2741" s="39">
        <v>525000</v>
      </c>
      <c r="F2741" s="40" t="s">
        <v>2315</v>
      </c>
    </row>
    <row r="2742" spans="2:6">
      <c r="B2742" s="8">
        <v>2739</v>
      </c>
      <c r="C2742" s="8" t="s">
        <v>1130</v>
      </c>
      <c r="D2742" s="8" t="s">
        <v>2347</v>
      </c>
      <c r="E2742" s="39">
        <v>190000</v>
      </c>
      <c r="F2742" s="40" t="s">
        <v>2315</v>
      </c>
    </row>
    <row r="2743" spans="2:6">
      <c r="B2743" s="8">
        <v>2740</v>
      </c>
      <c r="C2743" s="8" t="s">
        <v>1130</v>
      </c>
      <c r="D2743" s="8" t="s">
        <v>1219</v>
      </c>
      <c r="E2743" s="39">
        <v>53000</v>
      </c>
      <c r="F2743" s="40" t="s">
        <v>2315</v>
      </c>
    </row>
    <row r="2744" spans="2:6">
      <c r="B2744" s="8">
        <v>2741</v>
      </c>
      <c r="C2744" s="8" t="s">
        <v>1130</v>
      </c>
      <c r="D2744" s="8" t="s">
        <v>2348</v>
      </c>
      <c r="E2744" s="39">
        <v>249000</v>
      </c>
      <c r="F2744" s="40" t="s">
        <v>2315</v>
      </c>
    </row>
    <row r="2745" spans="2:6">
      <c r="B2745" s="8">
        <v>2742</v>
      </c>
      <c r="C2745" s="8" t="s">
        <v>1583</v>
      </c>
      <c r="D2745" s="8" t="s">
        <v>498</v>
      </c>
      <c r="E2745" s="39">
        <v>291000</v>
      </c>
      <c r="F2745" s="40" t="s">
        <v>2315</v>
      </c>
    </row>
    <row r="2746" spans="2:6">
      <c r="B2746" s="8">
        <v>2743</v>
      </c>
      <c r="C2746" s="8" t="s">
        <v>316</v>
      </c>
      <c r="D2746" s="8" t="s">
        <v>1362</v>
      </c>
      <c r="E2746" s="39">
        <v>217000</v>
      </c>
      <c r="F2746" s="40" t="s">
        <v>2315</v>
      </c>
    </row>
    <row r="2747" spans="2:6">
      <c r="B2747" s="8">
        <v>2744</v>
      </c>
      <c r="C2747" s="8" t="s">
        <v>318</v>
      </c>
      <c r="D2747" s="8" t="s">
        <v>217</v>
      </c>
      <c r="E2747" s="39">
        <v>823000</v>
      </c>
      <c r="F2747" s="40" t="s">
        <v>2315</v>
      </c>
    </row>
    <row r="2748" spans="2:6">
      <c r="B2748" s="8">
        <v>2745</v>
      </c>
      <c r="C2748" s="8" t="s">
        <v>318</v>
      </c>
      <c r="D2748" s="8" t="s">
        <v>1985</v>
      </c>
      <c r="E2748" s="39">
        <v>534000</v>
      </c>
      <c r="F2748" s="40" t="s">
        <v>2315</v>
      </c>
    </row>
    <row r="2749" spans="2:6">
      <c r="B2749" s="8">
        <v>2746</v>
      </c>
      <c r="C2749" s="8" t="s">
        <v>1134</v>
      </c>
      <c r="D2749" s="8" t="s">
        <v>2153</v>
      </c>
      <c r="E2749" s="39">
        <v>95000</v>
      </c>
      <c r="F2749" s="40" t="s">
        <v>2315</v>
      </c>
    </row>
    <row r="2750" spans="2:6">
      <c r="B2750" s="8">
        <v>2747</v>
      </c>
      <c r="C2750" s="8" t="s">
        <v>326</v>
      </c>
      <c r="D2750" s="8" t="s">
        <v>2349</v>
      </c>
      <c r="E2750" s="39">
        <v>1124000</v>
      </c>
      <c r="F2750" s="40" t="s">
        <v>2315</v>
      </c>
    </row>
    <row r="2751" spans="2:6">
      <c r="B2751" s="8">
        <v>2748</v>
      </c>
      <c r="C2751" s="8" t="s">
        <v>1137</v>
      </c>
      <c r="D2751" s="8" t="s">
        <v>1917</v>
      </c>
      <c r="E2751" s="39">
        <v>432000</v>
      </c>
      <c r="F2751" s="40" t="s">
        <v>2315</v>
      </c>
    </row>
    <row r="2752" spans="2:6">
      <c r="B2752" s="8">
        <v>2749</v>
      </c>
      <c r="C2752" s="8" t="s">
        <v>1137</v>
      </c>
      <c r="D2752" s="8" t="s">
        <v>1739</v>
      </c>
      <c r="E2752" s="39">
        <v>574000</v>
      </c>
      <c r="F2752" s="40" t="s">
        <v>2315</v>
      </c>
    </row>
    <row r="2753" spans="2:6">
      <c r="B2753" s="8">
        <v>2750</v>
      </c>
      <c r="C2753" s="8" t="s">
        <v>333</v>
      </c>
      <c r="D2753" s="8" t="s">
        <v>2324</v>
      </c>
      <c r="E2753" s="39">
        <v>80000</v>
      </c>
      <c r="F2753" s="40" t="s">
        <v>2315</v>
      </c>
    </row>
    <row r="2754" spans="2:6">
      <c r="B2754" s="8">
        <v>2751</v>
      </c>
      <c r="C2754" s="8" t="s">
        <v>333</v>
      </c>
      <c r="D2754" s="8" t="s">
        <v>1806</v>
      </c>
      <c r="E2754" s="39">
        <v>105000</v>
      </c>
      <c r="F2754" s="40" t="s">
        <v>2315</v>
      </c>
    </row>
    <row r="2755" spans="2:6">
      <c r="B2755" s="8">
        <v>2752</v>
      </c>
      <c r="C2755" s="8" t="s">
        <v>333</v>
      </c>
      <c r="D2755" s="8" t="s">
        <v>2350</v>
      </c>
      <c r="E2755" s="39">
        <v>339000</v>
      </c>
      <c r="F2755" s="40" t="s">
        <v>2315</v>
      </c>
    </row>
    <row r="2756" spans="2:6">
      <c r="B2756" s="8">
        <v>2753</v>
      </c>
      <c r="C2756" s="8" t="s">
        <v>336</v>
      </c>
      <c r="D2756" s="8" t="s">
        <v>640</v>
      </c>
      <c r="E2756" s="39">
        <v>219000</v>
      </c>
      <c r="F2756" s="40" t="s">
        <v>2315</v>
      </c>
    </row>
    <row r="2757" spans="2:6">
      <c r="B2757" s="8">
        <v>2754</v>
      </c>
      <c r="C2757" s="8" t="s">
        <v>338</v>
      </c>
      <c r="D2757" s="8" t="s">
        <v>640</v>
      </c>
      <c r="E2757" s="39">
        <v>139000</v>
      </c>
      <c r="F2757" s="40" t="s">
        <v>2315</v>
      </c>
    </row>
    <row r="2758" spans="2:6">
      <c r="B2758" s="8">
        <v>2755</v>
      </c>
      <c r="C2758" s="8" t="s">
        <v>1976</v>
      </c>
      <c r="D2758" s="8" t="s">
        <v>198</v>
      </c>
      <c r="E2758" s="39">
        <v>579000</v>
      </c>
      <c r="F2758" s="40" t="s">
        <v>2315</v>
      </c>
    </row>
    <row r="2759" spans="2:6">
      <c r="B2759" s="8">
        <v>2756</v>
      </c>
      <c r="C2759" s="8" t="s">
        <v>2351</v>
      </c>
      <c r="D2759" s="8" t="s">
        <v>381</v>
      </c>
      <c r="E2759" s="39">
        <v>532000</v>
      </c>
      <c r="F2759" s="40" t="s">
        <v>2315</v>
      </c>
    </row>
    <row r="2760" spans="2:6">
      <c r="B2760" s="8">
        <v>2757</v>
      </c>
      <c r="C2760" s="8" t="s">
        <v>340</v>
      </c>
      <c r="D2760" s="8" t="s">
        <v>2352</v>
      </c>
      <c r="E2760" s="39">
        <v>1341000</v>
      </c>
      <c r="F2760" s="40" t="s">
        <v>2315</v>
      </c>
    </row>
    <row r="2761" spans="2:6">
      <c r="B2761" s="8">
        <v>2758</v>
      </c>
      <c r="C2761" s="8" t="s">
        <v>340</v>
      </c>
      <c r="D2761" s="8" t="s">
        <v>2353</v>
      </c>
      <c r="E2761" s="39">
        <v>178000</v>
      </c>
      <c r="F2761" s="40" t="s">
        <v>2315</v>
      </c>
    </row>
    <row r="2762" spans="2:6">
      <c r="B2762" s="8">
        <v>2759</v>
      </c>
      <c r="C2762" s="8" t="s">
        <v>341</v>
      </c>
      <c r="D2762" s="8" t="s">
        <v>211</v>
      </c>
      <c r="E2762" s="39">
        <v>321000</v>
      </c>
      <c r="F2762" s="40" t="s">
        <v>2315</v>
      </c>
    </row>
    <row r="2763" spans="2:6">
      <c r="B2763" s="8">
        <v>2760</v>
      </c>
      <c r="C2763" s="8" t="s">
        <v>341</v>
      </c>
      <c r="D2763" s="8" t="s">
        <v>2354</v>
      </c>
      <c r="E2763" s="39">
        <v>203000</v>
      </c>
      <c r="F2763" s="40" t="s">
        <v>2315</v>
      </c>
    </row>
    <row r="2764" spans="2:6">
      <c r="B2764" s="8">
        <v>2761</v>
      </c>
      <c r="C2764" s="8" t="s">
        <v>1152</v>
      </c>
      <c r="D2764" s="8" t="s">
        <v>405</v>
      </c>
      <c r="E2764" s="39">
        <v>121000</v>
      </c>
      <c r="F2764" s="40" t="s">
        <v>2315</v>
      </c>
    </row>
    <row r="2765" spans="2:6">
      <c r="B2765" s="8">
        <v>2762</v>
      </c>
      <c r="C2765" s="8" t="s">
        <v>344</v>
      </c>
      <c r="D2765" s="8" t="s">
        <v>2355</v>
      </c>
      <c r="E2765" s="39">
        <v>93000</v>
      </c>
      <c r="F2765" s="40" t="s">
        <v>2315</v>
      </c>
    </row>
    <row r="2766" spans="2:6">
      <c r="B2766" s="8">
        <v>2763</v>
      </c>
      <c r="C2766" s="8" t="s">
        <v>349</v>
      </c>
      <c r="D2766" s="8" t="s">
        <v>2356</v>
      </c>
      <c r="E2766" s="39">
        <v>576000</v>
      </c>
      <c r="F2766" s="40" t="s">
        <v>2315</v>
      </c>
    </row>
    <row r="2767" spans="2:6">
      <c r="B2767" s="8">
        <v>2764</v>
      </c>
      <c r="C2767" s="8" t="s">
        <v>349</v>
      </c>
      <c r="D2767" s="8" t="s">
        <v>2357</v>
      </c>
      <c r="E2767" s="39">
        <v>77000</v>
      </c>
      <c r="F2767" s="40" t="s">
        <v>2315</v>
      </c>
    </row>
    <row r="2768" spans="2:6">
      <c r="B2768" s="8">
        <v>2765</v>
      </c>
      <c r="C2768" s="8" t="s">
        <v>349</v>
      </c>
      <c r="D2768" s="8" t="s">
        <v>339</v>
      </c>
      <c r="E2768" s="39">
        <v>53000</v>
      </c>
      <c r="F2768" s="40" t="s">
        <v>2315</v>
      </c>
    </row>
    <row r="2769" spans="2:6">
      <c r="B2769" s="8">
        <v>2766</v>
      </c>
      <c r="C2769" s="8" t="s">
        <v>1980</v>
      </c>
      <c r="D2769" s="8" t="s">
        <v>198</v>
      </c>
      <c r="E2769" s="39">
        <v>444000</v>
      </c>
      <c r="F2769" s="40" t="s">
        <v>2315</v>
      </c>
    </row>
    <row r="2770" spans="2:6">
      <c r="B2770" s="8">
        <v>2767</v>
      </c>
      <c r="C2770" s="8" t="s">
        <v>1593</v>
      </c>
      <c r="D2770" s="8" t="s">
        <v>447</v>
      </c>
      <c r="E2770" s="39">
        <v>1397000</v>
      </c>
      <c r="F2770" s="40" t="s">
        <v>2315</v>
      </c>
    </row>
    <row r="2771" spans="2:6">
      <c r="B2771" s="8">
        <v>2768</v>
      </c>
      <c r="C2771" s="8" t="s">
        <v>2358</v>
      </c>
      <c r="D2771" s="8" t="s">
        <v>198</v>
      </c>
      <c r="E2771" s="39">
        <v>921000</v>
      </c>
      <c r="F2771" s="40" t="s">
        <v>2315</v>
      </c>
    </row>
    <row r="2772" spans="2:6">
      <c r="B2772" s="8">
        <v>2769</v>
      </c>
      <c r="C2772" s="8" t="s">
        <v>2359</v>
      </c>
      <c r="D2772" s="8" t="s">
        <v>2360</v>
      </c>
      <c r="E2772" s="39">
        <v>423000</v>
      </c>
      <c r="F2772" s="40" t="s">
        <v>2315</v>
      </c>
    </row>
    <row r="2773" spans="2:6">
      <c r="B2773" s="8">
        <v>2770</v>
      </c>
      <c r="C2773" s="8" t="s">
        <v>352</v>
      </c>
      <c r="D2773" s="8" t="s">
        <v>2016</v>
      </c>
      <c r="E2773" s="39">
        <v>84000</v>
      </c>
      <c r="F2773" s="40" t="s">
        <v>2315</v>
      </c>
    </row>
    <row r="2774" spans="2:6">
      <c r="B2774" s="8">
        <v>2771</v>
      </c>
      <c r="C2774" s="8" t="s">
        <v>352</v>
      </c>
      <c r="D2774" s="8" t="s">
        <v>217</v>
      </c>
      <c r="E2774" s="39">
        <v>593000</v>
      </c>
      <c r="F2774" s="40" t="s">
        <v>2315</v>
      </c>
    </row>
    <row r="2775" spans="2:6">
      <c r="B2775" s="8">
        <v>2772</v>
      </c>
      <c r="C2775" s="8" t="s">
        <v>352</v>
      </c>
      <c r="D2775" s="8" t="s">
        <v>640</v>
      </c>
      <c r="E2775" s="39">
        <v>85000</v>
      </c>
      <c r="F2775" s="40" t="s">
        <v>2315</v>
      </c>
    </row>
    <row r="2776" spans="2:6">
      <c r="B2776" s="8">
        <v>2773</v>
      </c>
      <c r="C2776" s="8" t="s">
        <v>355</v>
      </c>
      <c r="D2776" s="8" t="s">
        <v>2361</v>
      </c>
      <c r="E2776" s="39">
        <v>625000</v>
      </c>
      <c r="F2776" s="40" t="s">
        <v>2315</v>
      </c>
    </row>
    <row r="2777" spans="2:6">
      <c r="B2777" s="8">
        <v>2774</v>
      </c>
      <c r="C2777" s="8" t="s">
        <v>2362</v>
      </c>
      <c r="D2777" s="8" t="s">
        <v>405</v>
      </c>
      <c r="E2777" s="39">
        <v>121000</v>
      </c>
      <c r="F2777" s="40" t="s">
        <v>2315</v>
      </c>
    </row>
    <row r="2778" spans="2:6">
      <c r="B2778" s="8">
        <v>2775</v>
      </c>
      <c r="C2778" s="8" t="s">
        <v>1159</v>
      </c>
      <c r="D2778" s="8" t="s">
        <v>2363</v>
      </c>
      <c r="E2778" s="39">
        <v>1661000</v>
      </c>
      <c r="F2778" s="40" t="s">
        <v>2315</v>
      </c>
    </row>
    <row r="2779" spans="2:6">
      <c r="B2779" s="8">
        <v>2776</v>
      </c>
      <c r="C2779" s="8" t="s">
        <v>1161</v>
      </c>
      <c r="D2779" s="8" t="s">
        <v>317</v>
      </c>
      <c r="E2779" s="39">
        <v>80000</v>
      </c>
      <c r="F2779" s="40" t="s">
        <v>2315</v>
      </c>
    </row>
    <row r="2780" spans="2:6">
      <c r="B2780" s="8">
        <v>2777</v>
      </c>
      <c r="C2780" s="8" t="s">
        <v>361</v>
      </c>
      <c r="D2780" s="8" t="s">
        <v>1287</v>
      </c>
      <c r="E2780" s="39">
        <v>1378000</v>
      </c>
      <c r="F2780" s="40" t="s">
        <v>2315</v>
      </c>
    </row>
    <row r="2781" spans="2:6">
      <c r="B2781" s="8">
        <v>2778</v>
      </c>
      <c r="C2781" s="8" t="s">
        <v>1596</v>
      </c>
      <c r="D2781" s="8" t="s">
        <v>2364</v>
      </c>
      <c r="E2781" s="39">
        <v>604000</v>
      </c>
      <c r="F2781" s="40" t="s">
        <v>2315</v>
      </c>
    </row>
    <row r="2782" spans="2:6">
      <c r="B2782" s="8">
        <v>2779</v>
      </c>
      <c r="C2782" s="8" t="s">
        <v>1596</v>
      </c>
      <c r="D2782" s="8" t="s">
        <v>2365</v>
      </c>
      <c r="E2782" s="39">
        <v>415000</v>
      </c>
      <c r="F2782" s="40" t="s">
        <v>2315</v>
      </c>
    </row>
    <row r="2783" spans="2:6">
      <c r="B2783" s="8">
        <v>2780</v>
      </c>
      <c r="C2783" s="8" t="s">
        <v>1987</v>
      </c>
      <c r="D2783" s="8" t="s">
        <v>386</v>
      </c>
      <c r="E2783" s="39">
        <v>127000</v>
      </c>
      <c r="F2783" s="40" t="s">
        <v>2315</v>
      </c>
    </row>
    <row r="2784" spans="2:6">
      <c r="B2784" s="8">
        <v>2781</v>
      </c>
      <c r="C2784" s="8" t="s">
        <v>369</v>
      </c>
      <c r="D2784" s="8" t="s">
        <v>317</v>
      </c>
      <c r="E2784" s="39">
        <v>219000</v>
      </c>
      <c r="F2784" s="40" t="s">
        <v>2315</v>
      </c>
    </row>
    <row r="2785" spans="2:6">
      <c r="B2785" s="8">
        <v>2782</v>
      </c>
      <c r="C2785" s="8" t="s">
        <v>385</v>
      </c>
      <c r="D2785" s="8" t="s">
        <v>2366</v>
      </c>
      <c r="E2785" s="39">
        <v>121000</v>
      </c>
      <c r="F2785" s="40" t="s">
        <v>2315</v>
      </c>
    </row>
    <row r="2786" spans="2:6">
      <c r="B2786" s="8">
        <v>2783</v>
      </c>
      <c r="C2786" s="8" t="s">
        <v>1173</v>
      </c>
      <c r="D2786" s="8" t="s">
        <v>1437</v>
      </c>
      <c r="E2786" s="39">
        <v>317000</v>
      </c>
      <c r="F2786" s="40" t="s">
        <v>2315</v>
      </c>
    </row>
    <row r="2787" spans="2:6">
      <c r="B2787" s="8">
        <v>2784</v>
      </c>
      <c r="C2787" s="8" t="s">
        <v>391</v>
      </c>
      <c r="D2787" s="8" t="s">
        <v>2367</v>
      </c>
      <c r="E2787" s="39">
        <v>935000</v>
      </c>
      <c r="F2787" s="40" t="s">
        <v>2315</v>
      </c>
    </row>
    <row r="2788" spans="2:6">
      <c r="B2788" s="8">
        <v>2785</v>
      </c>
      <c r="C2788" s="8" t="s">
        <v>391</v>
      </c>
      <c r="D2788" s="8" t="s">
        <v>2368</v>
      </c>
      <c r="E2788" s="39">
        <v>838000</v>
      </c>
      <c r="F2788" s="40" t="s">
        <v>2315</v>
      </c>
    </row>
    <row r="2789" spans="2:6">
      <c r="B2789" s="8">
        <v>2786</v>
      </c>
      <c r="C2789" s="8" t="s">
        <v>1990</v>
      </c>
      <c r="D2789" s="8" t="s">
        <v>2369</v>
      </c>
      <c r="E2789" s="39">
        <v>77000</v>
      </c>
      <c r="F2789" s="40" t="s">
        <v>2315</v>
      </c>
    </row>
    <row r="2790" spans="2:6">
      <c r="B2790" s="8">
        <v>2787</v>
      </c>
      <c r="C2790" s="8" t="s">
        <v>1608</v>
      </c>
      <c r="D2790" s="8" t="s">
        <v>640</v>
      </c>
      <c r="E2790" s="39">
        <v>493000</v>
      </c>
      <c r="F2790" s="40" t="s">
        <v>2315</v>
      </c>
    </row>
    <row r="2791" spans="2:6">
      <c r="B2791" s="8">
        <v>2788</v>
      </c>
      <c r="C2791" s="8" t="s">
        <v>1176</v>
      </c>
      <c r="D2791" s="8" t="s">
        <v>2365</v>
      </c>
      <c r="E2791" s="39">
        <v>230000</v>
      </c>
      <c r="F2791" s="40" t="s">
        <v>2315</v>
      </c>
    </row>
    <row r="2792" spans="2:6">
      <c r="B2792" s="8">
        <v>2789</v>
      </c>
      <c r="C2792" s="8" t="s">
        <v>395</v>
      </c>
      <c r="D2792" s="8" t="s">
        <v>2370</v>
      </c>
      <c r="E2792" s="39">
        <v>1695000</v>
      </c>
      <c r="F2792" s="40" t="s">
        <v>2315</v>
      </c>
    </row>
    <row r="2793" spans="2:6">
      <c r="B2793" s="8">
        <v>2790</v>
      </c>
      <c r="C2793" s="8" t="s">
        <v>397</v>
      </c>
      <c r="D2793" s="8" t="s">
        <v>2371</v>
      </c>
      <c r="E2793" s="39">
        <v>135000</v>
      </c>
      <c r="F2793" s="40" t="s">
        <v>2315</v>
      </c>
    </row>
    <row r="2794" spans="2:6">
      <c r="B2794" s="8">
        <v>2791</v>
      </c>
      <c r="C2794" s="8" t="s">
        <v>399</v>
      </c>
      <c r="D2794" s="8" t="s">
        <v>345</v>
      </c>
      <c r="E2794" s="39">
        <v>1205000</v>
      </c>
      <c r="F2794" s="40" t="s">
        <v>2315</v>
      </c>
    </row>
    <row r="2795" spans="2:6">
      <c r="B2795" s="8">
        <v>2792</v>
      </c>
      <c r="C2795" s="8" t="s">
        <v>406</v>
      </c>
      <c r="D2795" s="8" t="s">
        <v>256</v>
      </c>
      <c r="E2795" s="39">
        <v>88000</v>
      </c>
      <c r="F2795" s="40" t="s">
        <v>2315</v>
      </c>
    </row>
    <row r="2796" spans="2:6">
      <c r="B2796" s="8">
        <v>2793</v>
      </c>
      <c r="C2796" s="8" t="s">
        <v>1179</v>
      </c>
      <c r="D2796" s="8" t="s">
        <v>2372</v>
      </c>
      <c r="E2796" s="39">
        <v>455000</v>
      </c>
      <c r="F2796" s="40" t="s">
        <v>2315</v>
      </c>
    </row>
    <row r="2797" spans="2:6">
      <c r="B2797" s="8">
        <v>2794</v>
      </c>
      <c r="C2797" s="8" t="s">
        <v>1179</v>
      </c>
      <c r="D2797" s="8" t="s">
        <v>211</v>
      </c>
      <c r="E2797" s="39">
        <v>232000</v>
      </c>
      <c r="F2797" s="40" t="s">
        <v>2315</v>
      </c>
    </row>
    <row r="2798" spans="2:6">
      <c r="B2798" s="8">
        <v>2795</v>
      </c>
      <c r="C2798" s="8" t="s">
        <v>407</v>
      </c>
      <c r="D2798" s="8" t="s">
        <v>2373</v>
      </c>
      <c r="E2798" s="39">
        <v>1648000</v>
      </c>
      <c r="F2798" s="40" t="s">
        <v>2315</v>
      </c>
    </row>
    <row r="2799" spans="2:6">
      <c r="B2799" s="8">
        <v>2796</v>
      </c>
      <c r="C2799" s="8" t="s">
        <v>407</v>
      </c>
      <c r="D2799" s="8" t="s">
        <v>2374</v>
      </c>
      <c r="E2799" s="39">
        <v>776000</v>
      </c>
      <c r="F2799" s="40" t="s">
        <v>2315</v>
      </c>
    </row>
    <row r="2800" spans="2:6">
      <c r="B2800" s="8">
        <v>2797</v>
      </c>
      <c r="C2800" s="8" t="s">
        <v>414</v>
      </c>
      <c r="D2800" s="8" t="s">
        <v>2375</v>
      </c>
      <c r="E2800" s="39">
        <v>251000</v>
      </c>
      <c r="F2800" s="40" t="s">
        <v>2315</v>
      </c>
    </row>
    <row r="2801" spans="2:6">
      <c r="B2801" s="8">
        <v>2798</v>
      </c>
      <c r="C2801" s="8" t="s">
        <v>414</v>
      </c>
      <c r="D2801" s="8" t="s">
        <v>1300</v>
      </c>
      <c r="E2801" s="39">
        <v>334000</v>
      </c>
      <c r="F2801" s="40" t="s">
        <v>2315</v>
      </c>
    </row>
    <row r="2802" spans="2:6">
      <c r="B2802" s="8">
        <v>2799</v>
      </c>
      <c r="C2802" s="8" t="s">
        <v>416</v>
      </c>
      <c r="D2802" s="8" t="s">
        <v>640</v>
      </c>
      <c r="E2802" s="39">
        <v>484000</v>
      </c>
      <c r="F2802" s="40" t="s">
        <v>2315</v>
      </c>
    </row>
    <row r="2803" spans="2:6">
      <c r="B2803" s="8">
        <v>2800</v>
      </c>
      <c r="C2803" s="8" t="s">
        <v>1187</v>
      </c>
      <c r="D2803" s="8" t="s">
        <v>339</v>
      </c>
      <c r="E2803" s="39">
        <v>84000</v>
      </c>
      <c r="F2803" s="40" t="s">
        <v>2315</v>
      </c>
    </row>
    <row r="2804" spans="2:6">
      <c r="B2804" s="8">
        <v>2801</v>
      </c>
      <c r="C2804" s="8" t="s">
        <v>1187</v>
      </c>
      <c r="D2804" s="8" t="s">
        <v>453</v>
      </c>
      <c r="E2804" s="39">
        <v>130000</v>
      </c>
      <c r="F2804" s="40" t="s">
        <v>2315</v>
      </c>
    </row>
    <row r="2805" spans="2:6">
      <c r="B2805" s="8">
        <v>2802</v>
      </c>
      <c r="C2805" s="8" t="s">
        <v>1187</v>
      </c>
      <c r="D2805" s="8" t="s">
        <v>198</v>
      </c>
      <c r="E2805" s="39">
        <v>572000</v>
      </c>
      <c r="F2805" s="40" t="s">
        <v>2315</v>
      </c>
    </row>
    <row r="2806" spans="2:6">
      <c r="B2806" s="8">
        <v>2803</v>
      </c>
      <c r="C2806" s="8" t="s">
        <v>420</v>
      </c>
      <c r="D2806" s="8" t="s">
        <v>345</v>
      </c>
      <c r="E2806" s="39">
        <v>1159000</v>
      </c>
      <c r="F2806" s="40" t="s">
        <v>2315</v>
      </c>
    </row>
    <row r="2807" spans="2:6">
      <c r="B2807" s="8">
        <v>2804</v>
      </c>
      <c r="C2807" s="8" t="s">
        <v>422</v>
      </c>
      <c r="D2807" s="8" t="s">
        <v>199</v>
      </c>
      <c r="E2807" s="39">
        <v>212000</v>
      </c>
      <c r="F2807" s="40" t="s">
        <v>2315</v>
      </c>
    </row>
    <row r="2808" spans="2:6">
      <c r="B2808" s="8">
        <v>2805</v>
      </c>
      <c r="C2808" s="8" t="s">
        <v>422</v>
      </c>
      <c r="D2808" s="8" t="s">
        <v>1409</v>
      </c>
      <c r="E2808" s="39">
        <v>93000</v>
      </c>
      <c r="F2808" s="40" t="s">
        <v>2315</v>
      </c>
    </row>
    <row r="2809" spans="2:6">
      <c r="B2809" s="8">
        <v>2806</v>
      </c>
      <c r="C2809" s="8" t="s">
        <v>422</v>
      </c>
      <c r="D2809" s="8" t="s">
        <v>2376</v>
      </c>
      <c r="E2809" s="39">
        <v>1352000</v>
      </c>
      <c r="F2809" s="40" t="s">
        <v>2315</v>
      </c>
    </row>
    <row r="2810" spans="2:6">
      <c r="B2810" s="8">
        <v>2807</v>
      </c>
      <c r="C2810" s="8" t="s">
        <v>424</v>
      </c>
      <c r="D2810" s="8" t="s">
        <v>211</v>
      </c>
      <c r="E2810" s="39">
        <v>53000</v>
      </c>
      <c r="F2810" s="40" t="s">
        <v>2315</v>
      </c>
    </row>
    <row r="2811" spans="2:6">
      <c r="B2811" s="8">
        <v>2808</v>
      </c>
      <c r="C2811" s="8" t="s">
        <v>425</v>
      </c>
      <c r="D2811" s="8" t="s">
        <v>2377</v>
      </c>
      <c r="E2811" s="39">
        <v>1317000</v>
      </c>
      <c r="F2811" s="40" t="s">
        <v>2315</v>
      </c>
    </row>
    <row r="2812" spans="2:6">
      <c r="B2812" s="8">
        <v>2809</v>
      </c>
      <c r="C2812" s="8" t="s">
        <v>2005</v>
      </c>
      <c r="D2812" s="8" t="s">
        <v>211</v>
      </c>
      <c r="E2812" s="39">
        <v>711000</v>
      </c>
      <c r="F2812" s="40" t="s">
        <v>2315</v>
      </c>
    </row>
    <row r="2813" spans="2:6">
      <c r="B2813" s="8">
        <v>2810</v>
      </c>
      <c r="C2813" s="8" t="s">
        <v>2005</v>
      </c>
      <c r="D2813" s="8" t="s">
        <v>282</v>
      </c>
      <c r="E2813" s="39">
        <v>197000</v>
      </c>
      <c r="F2813" s="40" t="s">
        <v>2315</v>
      </c>
    </row>
    <row r="2814" spans="2:6">
      <c r="B2814" s="8">
        <v>2811</v>
      </c>
      <c r="C2814" s="8" t="s">
        <v>1622</v>
      </c>
      <c r="D2814" s="8" t="s">
        <v>2378</v>
      </c>
      <c r="E2814" s="39">
        <v>350000</v>
      </c>
      <c r="F2814" s="40" t="s">
        <v>2315</v>
      </c>
    </row>
    <row r="2815" spans="2:6">
      <c r="B2815" s="8">
        <v>2812</v>
      </c>
      <c r="C2815" s="8" t="s">
        <v>429</v>
      </c>
      <c r="D2815" s="8" t="s">
        <v>217</v>
      </c>
      <c r="E2815" s="39">
        <v>466000</v>
      </c>
      <c r="F2815" s="40" t="s">
        <v>2315</v>
      </c>
    </row>
    <row r="2816" spans="2:6">
      <c r="B2816" s="8">
        <v>2813</v>
      </c>
      <c r="C2816" s="8" t="s">
        <v>431</v>
      </c>
      <c r="D2816" s="8" t="s">
        <v>2379</v>
      </c>
      <c r="E2816" s="39">
        <v>1265000</v>
      </c>
      <c r="F2816" s="40" t="s">
        <v>2315</v>
      </c>
    </row>
    <row r="2817" spans="2:6">
      <c r="B2817" s="8">
        <v>2814</v>
      </c>
      <c r="C2817" s="8" t="s">
        <v>436</v>
      </c>
      <c r="D2817" s="8" t="s">
        <v>2380</v>
      </c>
      <c r="E2817" s="39">
        <v>1645000</v>
      </c>
      <c r="F2817" s="40" t="s">
        <v>2315</v>
      </c>
    </row>
    <row r="2818" spans="2:6">
      <c r="B2818" s="8">
        <v>2815</v>
      </c>
      <c r="C2818" s="8" t="s">
        <v>1197</v>
      </c>
      <c r="D2818" s="8" t="s">
        <v>211</v>
      </c>
      <c r="E2818" s="39">
        <v>348000</v>
      </c>
      <c r="F2818" s="40" t="s">
        <v>2315</v>
      </c>
    </row>
    <row r="2819" spans="2:6">
      <c r="B2819" s="8">
        <v>2816</v>
      </c>
      <c r="C2819" s="8" t="s">
        <v>1625</v>
      </c>
      <c r="D2819" s="8" t="s">
        <v>198</v>
      </c>
      <c r="E2819" s="39">
        <v>318000</v>
      </c>
      <c r="F2819" s="40" t="s">
        <v>2315</v>
      </c>
    </row>
    <row r="2820" spans="2:6">
      <c r="B2820" s="8">
        <v>2817</v>
      </c>
      <c r="C2820" s="8" t="s">
        <v>1626</v>
      </c>
      <c r="D2820" s="8" t="s">
        <v>198</v>
      </c>
      <c r="E2820" s="39">
        <v>670000</v>
      </c>
      <c r="F2820" s="40" t="s">
        <v>2315</v>
      </c>
    </row>
    <row r="2821" spans="2:6">
      <c r="B2821" s="8">
        <v>2818</v>
      </c>
      <c r="C2821" s="8" t="s">
        <v>457</v>
      </c>
      <c r="D2821" s="8" t="s">
        <v>2381</v>
      </c>
      <c r="E2821" s="39">
        <v>163000</v>
      </c>
      <c r="F2821" s="40" t="s">
        <v>2315</v>
      </c>
    </row>
    <row r="2822" spans="2:6">
      <c r="B2822" s="8">
        <v>2819</v>
      </c>
      <c r="C2822" s="8" t="s">
        <v>458</v>
      </c>
      <c r="D2822" s="8" t="s">
        <v>2382</v>
      </c>
      <c r="E2822" s="39">
        <v>74000</v>
      </c>
      <c r="F2822" s="40" t="s">
        <v>2315</v>
      </c>
    </row>
    <row r="2823" spans="2:6">
      <c r="B2823" s="8">
        <v>2820</v>
      </c>
      <c r="C2823" s="8" t="s">
        <v>1630</v>
      </c>
      <c r="D2823" s="8" t="s">
        <v>2383</v>
      </c>
      <c r="E2823" s="39">
        <v>201000</v>
      </c>
      <c r="F2823" s="40" t="s">
        <v>2315</v>
      </c>
    </row>
    <row r="2824" spans="2:6">
      <c r="B2824" s="8">
        <v>2821</v>
      </c>
      <c r="C2824" s="8" t="s">
        <v>464</v>
      </c>
      <c r="D2824" s="8" t="s">
        <v>775</v>
      </c>
      <c r="E2824" s="39">
        <v>53000</v>
      </c>
      <c r="F2824" s="40" t="s">
        <v>2315</v>
      </c>
    </row>
    <row r="2825" spans="2:6">
      <c r="B2825" s="8">
        <v>2822</v>
      </c>
      <c r="C2825" s="8" t="s">
        <v>465</v>
      </c>
      <c r="D2825" s="8" t="s">
        <v>2343</v>
      </c>
      <c r="E2825" s="39">
        <v>284000</v>
      </c>
      <c r="F2825" s="40" t="s">
        <v>2315</v>
      </c>
    </row>
    <row r="2826" spans="2:6">
      <c r="B2826" s="8">
        <v>2823</v>
      </c>
      <c r="C2826" s="8" t="s">
        <v>465</v>
      </c>
      <c r="D2826" s="8" t="s">
        <v>2384</v>
      </c>
      <c r="E2826" s="39">
        <v>1329000</v>
      </c>
      <c r="F2826" s="40" t="s">
        <v>2315</v>
      </c>
    </row>
    <row r="2827" spans="2:6">
      <c r="B2827" s="8">
        <v>2824</v>
      </c>
      <c r="C2827" s="8" t="s">
        <v>466</v>
      </c>
      <c r="D2827" s="8" t="s">
        <v>2385</v>
      </c>
      <c r="E2827" s="39">
        <v>116000</v>
      </c>
      <c r="F2827" s="40" t="s">
        <v>2315</v>
      </c>
    </row>
    <row r="2828" spans="2:6">
      <c r="B2828" s="8">
        <v>2825</v>
      </c>
      <c r="C2828" s="8" t="s">
        <v>1207</v>
      </c>
      <c r="D2828" s="8" t="s">
        <v>699</v>
      </c>
      <c r="E2828" s="39">
        <v>84000</v>
      </c>
      <c r="F2828" s="40" t="s">
        <v>2315</v>
      </c>
    </row>
    <row r="2829" spans="2:6">
      <c r="B2829" s="8">
        <v>2826</v>
      </c>
      <c r="C2829" s="8" t="s">
        <v>470</v>
      </c>
      <c r="D2829" s="8" t="s">
        <v>2248</v>
      </c>
      <c r="E2829" s="39">
        <v>83000</v>
      </c>
      <c r="F2829" s="40" t="s">
        <v>2315</v>
      </c>
    </row>
    <row r="2830" spans="2:6">
      <c r="B2830" s="8">
        <v>2827</v>
      </c>
      <c r="C2830" s="8" t="s">
        <v>471</v>
      </c>
      <c r="D2830" s="8" t="s">
        <v>2386</v>
      </c>
      <c r="E2830" s="39">
        <v>373000</v>
      </c>
      <c r="F2830" s="40" t="s">
        <v>2315</v>
      </c>
    </row>
    <row r="2831" spans="2:6">
      <c r="B2831" s="8">
        <v>2828</v>
      </c>
      <c r="C2831" s="8" t="s">
        <v>471</v>
      </c>
      <c r="D2831" s="8" t="s">
        <v>2387</v>
      </c>
      <c r="E2831" s="39">
        <v>2274000</v>
      </c>
      <c r="F2831" s="40" t="s">
        <v>2315</v>
      </c>
    </row>
    <row r="2832" spans="2:6">
      <c r="B2832" s="8">
        <v>2829</v>
      </c>
      <c r="C2832" s="8" t="s">
        <v>471</v>
      </c>
      <c r="D2832" s="8" t="s">
        <v>2388</v>
      </c>
      <c r="E2832" s="39">
        <v>476000</v>
      </c>
      <c r="F2832" s="40" t="s">
        <v>2315</v>
      </c>
    </row>
    <row r="2833" spans="2:6">
      <c r="B2833" s="8">
        <v>2830</v>
      </c>
      <c r="C2833" s="8" t="s">
        <v>1211</v>
      </c>
      <c r="D2833" s="8" t="s">
        <v>317</v>
      </c>
      <c r="E2833" s="39">
        <v>925000</v>
      </c>
      <c r="F2833" s="40" t="s">
        <v>2315</v>
      </c>
    </row>
    <row r="2834" spans="2:6">
      <c r="B2834" s="8">
        <v>2831</v>
      </c>
      <c r="C2834" s="8" t="s">
        <v>1211</v>
      </c>
      <c r="D2834" s="8" t="s">
        <v>1305</v>
      </c>
      <c r="E2834" s="39">
        <v>346000</v>
      </c>
      <c r="F2834" s="40" t="s">
        <v>2315</v>
      </c>
    </row>
    <row r="2835" spans="2:6">
      <c r="B2835" s="8">
        <v>2832</v>
      </c>
      <c r="C2835" s="8" t="s">
        <v>1211</v>
      </c>
      <c r="D2835" s="8" t="s">
        <v>213</v>
      </c>
      <c r="E2835" s="39">
        <v>101000</v>
      </c>
      <c r="F2835" s="40" t="s">
        <v>2315</v>
      </c>
    </row>
    <row r="2836" spans="2:6">
      <c r="B2836" s="8">
        <v>2833</v>
      </c>
      <c r="C2836" s="8" t="s">
        <v>477</v>
      </c>
      <c r="D2836" s="8" t="s">
        <v>2389</v>
      </c>
      <c r="E2836" s="39">
        <v>4867000</v>
      </c>
      <c r="F2836" s="40" t="s">
        <v>2315</v>
      </c>
    </row>
    <row r="2837" spans="2:6">
      <c r="B2837" s="8">
        <v>2834</v>
      </c>
      <c r="C2837" s="8" t="s">
        <v>2390</v>
      </c>
      <c r="D2837" s="8" t="s">
        <v>2391</v>
      </c>
      <c r="E2837" s="39">
        <v>370000</v>
      </c>
      <c r="F2837" s="40" t="s">
        <v>2315</v>
      </c>
    </row>
    <row r="2838" spans="2:6">
      <c r="B2838" s="8">
        <v>2835</v>
      </c>
      <c r="C2838" s="8" t="s">
        <v>483</v>
      </c>
      <c r="D2838" s="8" t="s">
        <v>211</v>
      </c>
      <c r="E2838" s="39">
        <v>232000</v>
      </c>
      <c r="F2838" s="40" t="s">
        <v>2315</v>
      </c>
    </row>
    <row r="2839" spans="2:6">
      <c r="B2839" s="8">
        <v>2836</v>
      </c>
      <c r="C2839" s="8" t="s">
        <v>483</v>
      </c>
      <c r="D2839" s="8" t="s">
        <v>198</v>
      </c>
      <c r="E2839" s="39">
        <v>1298000</v>
      </c>
      <c r="F2839" s="40" t="s">
        <v>2315</v>
      </c>
    </row>
    <row r="2840" spans="2:6">
      <c r="B2840" s="8">
        <v>2837</v>
      </c>
      <c r="C2840" s="8" t="s">
        <v>1648</v>
      </c>
      <c r="D2840" s="8" t="s">
        <v>198</v>
      </c>
      <c r="E2840" s="39">
        <v>670000</v>
      </c>
      <c r="F2840" s="40" t="s">
        <v>2315</v>
      </c>
    </row>
    <row r="2841" spans="2:6">
      <c r="B2841" s="8">
        <v>2838</v>
      </c>
      <c r="C2841" s="8" t="s">
        <v>1651</v>
      </c>
      <c r="D2841" s="8" t="s">
        <v>198</v>
      </c>
      <c r="E2841" s="39">
        <v>754000</v>
      </c>
      <c r="F2841" s="40" t="s">
        <v>2315</v>
      </c>
    </row>
    <row r="2842" spans="2:6">
      <c r="B2842" s="8">
        <v>2839</v>
      </c>
      <c r="C2842" s="8" t="s">
        <v>485</v>
      </c>
      <c r="D2842" s="8" t="s">
        <v>2392</v>
      </c>
      <c r="E2842" s="39">
        <v>185000</v>
      </c>
      <c r="F2842" s="40" t="s">
        <v>2315</v>
      </c>
    </row>
    <row r="2843" spans="2:6">
      <c r="B2843" s="8">
        <v>2840</v>
      </c>
      <c r="C2843" s="8" t="s">
        <v>487</v>
      </c>
      <c r="D2843" s="8" t="s">
        <v>2393</v>
      </c>
      <c r="E2843" s="39">
        <v>488000</v>
      </c>
      <c r="F2843" s="40" t="s">
        <v>2315</v>
      </c>
    </row>
    <row r="2844" spans="2:6">
      <c r="B2844" s="8">
        <v>2841</v>
      </c>
      <c r="C2844" s="8" t="s">
        <v>489</v>
      </c>
      <c r="D2844" s="8" t="s">
        <v>275</v>
      </c>
      <c r="E2844" s="39">
        <v>1161000</v>
      </c>
      <c r="F2844" s="40" t="s">
        <v>2315</v>
      </c>
    </row>
    <row r="2845" spans="2:6">
      <c r="B2845" s="8">
        <v>2842</v>
      </c>
      <c r="C2845" s="8" t="s">
        <v>1216</v>
      </c>
      <c r="D2845" s="8" t="s">
        <v>198</v>
      </c>
      <c r="E2845" s="39">
        <v>284000</v>
      </c>
      <c r="F2845" s="40" t="s">
        <v>2315</v>
      </c>
    </row>
    <row r="2846" spans="2:6">
      <c r="B2846" s="8">
        <v>2843</v>
      </c>
      <c r="C2846" s="8" t="s">
        <v>2394</v>
      </c>
      <c r="D2846" s="8" t="s">
        <v>405</v>
      </c>
      <c r="E2846" s="39">
        <v>121000</v>
      </c>
      <c r="F2846" s="40" t="s">
        <v>2315</v>
      </c>
    </row>
    <row r="2847" spans="2:6">
      <c r="B2847" s="8">
        <v>2844</v>
      </c>
      <c r="C2847" s="8" t="s">
        <v>1218</v>
      </c>
      <c r="D2847" s="8" t="s">
        <v>2395</v>
      </c>
      <c r="E2847" s="39">
        <v>75000</v>
      </c>
      <c r="F2847" s="40" t="s">
        <v>2315</v>
      </c>
    </row>
    <row r="2848" spans="2:6">
      <c r="B2848" s="8">
        <v>2845</v>
      </c>
      <c r="C2848" s="8" t="s">
        <v>1218</v>
      </c>
      <c r="D2848" s="8" t="s">
        <v>198</v>
      </c>
      <c r="E2848" s="39">
        <v>294000</v>
      </c>
      <c r="F2848" s="40" t="s">
        <v>2315</v>
      </c>
    </row>
    <row r="2849" spans="2:6">
      <c r="B2849" s="8">
        <v>2846</v>
      </c>
      <c r="C2849" s="8" t="s">
        <v>1218</v>
      </c>
      <c r="D2849" s="8" t="s">
        <v>317</v>
      </c>
      <c r="E2849" s="39">
        <v>282000</v>
      </c>
      <c r="F2849" s="40" t="s">
        <v>2315</v>
      </c>
    </row>
    <row r="2850" spans="2:6">
      <c r="B2850" s="8">
        <v>2847</v>
      </c>
      <c r="C2850" s="8" t="s">
        <v>1218</v>
      </c>
      <c r="D2850" s="8" t="s">
        <v>838</v>
      </c>
      <c r="E2850" s="39">
        <v>130000</v>
      </c>
      <c r="F2850" s="40" t="s">
        <v>2315</v>
      </c>
    </row>
    <row r="2851" spans="2:6">
      <c r="B2851" s="8">
        <v>2848</v>
      </c>
      <c r="C2851" s="8" t="s">
        <v>1218</v>
      </c>
      <c r="D2851" s="8" t="s">
        <v>1287</v>
      </c>
      <c r="E2851" s="39">
        <v>313000</v>
      </c>
      <c r="F2851" s="40" t="s">
        <v>2315</v>
      </c>
    </row>
    <row r="2852" spans="2:6">
      <c r="B2852" s="8">
        <v>2849</v>
      </c>
      <c r="C2852" s="8" t="s">
        <v>492</v>
      </c>
      <c r="D2852" s="8" t="s">
        <v>317</v>
      </c>
      <c r="E2852" s="39">
        <v>105000</v>
      </c>
      <c r="F2852" s="40" t="s">
        <v>2315</v>
      </c>
    </row>
    <row r="2853" spans="2:6">
      <c r="B2853" s="8">
        <v>2850</v>
      </c>
      <c r="C2853" s="8" t="s">
        <v>492</v>
      </c>
      <c r="D2853" s="8" t="s">
        <v>211</v>
      </c>
      <c r="E2853" s="39">
        <v>323000</v>
      </c>
      <c r="F2853" s="40" t="s">
        <v>2315</v>
      </c>
    </row>
    <row r="2854" spans="2:6">
      <c r="B2854" s="8">
        <v>2851</v>
      </c>
      <c r="C2854" s="8" t="s">
        <v>2266</v>
      </c>
      <c r="D2854" s="8" t="s">
        <v>2396</v>
      </c>
      <c r="E2854" s="39">
        <v>484000</v>
      </c>
      <c r="F2854" s="40" t="s">
        <v>2315</v>
      </c>
    </row>
    <row r="2855" spans="2:6">
      <c r="B2855" s="8">
        <v>2852</v>
      </c>
      <c r="C2855" s="8" t="s">
        <v>495</v>
      </c>
      <c r="D2855" s="8" t="s">
        <v>2397</v>
      </c>
      <c r="E2855" s="39">
        <v>164000</v>
      </c>
      <c r="F2855" s="40" t="s">
        <v>2315</v>
      </c>
    </row>
    <row r="2856" spans="2:6">
      <c r="B2856" s="8">
        <v>2853</v>
      </c>
      <c r="C2856" s="8" t="s">
        <v>495</v>
      </c>
      <c r="D2856" s="8" t="s">
        <v>640</v>
      </c>
      <c r="E2856" s="39">
        <v>224000</v>
      </c>
      <c r="F2856" s="40" t="s">
        <v>2315</v>
      </c>
    </row>
    <row r="2857" spans="2:6">
      <c r="B2857" s="8">
        <v>2854</v>
      </c>
      <c r="C2857" s="8" t="s">
        <v>495</v>
      </c>
      <c r="D2857" s="8" t="s">
        <v>2398</v>
      </c>
      <c r="E2857" s="39">
        <v>66000</v>
      </c>
      <c r="F2857" s="40" t="s">
        <v>2315</v>
      </c>
    </row>
    <row r="2858" spans="2:6">
      <c r="B2858" s="8">
        <v>2855</v>
      </c>
      <c r="C2858" s="8" t="s">
        <v>2032</v>
      </c>
      <c r="D2858" s="8" t="s">
        <v>198</v>
      </c>
      <c r="E2858" s="39">
        <v>604000</v>
      </c>
      <c r="F2858" s="40" t="s">
        <v>2315</v>
      </c>
    </row>
    <row r="2859" spans="2:6">
      <c r="B2859" s="8">
        <v>2856</v>
      </c>
      <c r="C2859" s="8" t="s">
        <v>2032</v>
      </c>
      <c r="D2859" s="8" t="s">
        <v>339</v>
      </c>
      <c r="E2859" s="39">
        <v>194000</v>
      </c>
      <c r="F2859" s="40" t="s">
        <v>2315</v>
      </c>
    </row>
    <row r="2860" spans="2:6">
      <c r="B2860" s="8">
        <v>2857</v>
      </c>
      <c r="C2860" s="8" t="s">
        <v>497</v>
      </c>
      <c r="D2860" s="8" t="s">
        <v>1810</v>
      </c>
      <c r="E2860" s="39">
        <v>177000</v>
      </c>
      <c r="F2860" s="40" t="s">
        <v>2315</v>
      </c>
    </row>
    <row r="2861" spans="2:6">
      <c r="B2861" s="8">
        <v>2858</v>
      </c>
      <c r="C2861" s="8" t="s">
        <v>497</v>
      </c>
      <c r="D2861" s="8" t="s">
        <v>339</v>
      </c>
      <c r="E2861" s="39">
        <v>84000</v>
      </c>
      <c r="F2861" s="40" t="s">
        <v>2315</v>
      </c>
    </row>
    <row r="2862" spans="2:6">
      <c r="B2862" s="8">
        <v>2859</v>
      </c>
      <c r="C2862" s="8" t="s">
        <v>499</v>
      </c>
      <c r="D2862" s="8" t="s">
        <v>2399</v>
      </c>
      <c r="E2862" s="39">
        <v>2036000</v>
      </c>
      <c r="F2862" s="40" t="s">
        <v>2315</v>
      </c>
    </row>
    <row r="2863" spans="2:6">
      <c r="B2863" s="8">
        <v>2860</v>
      </c>
      <c r="C2863" s="8" t="s">
        <v>192</v>
      </c>
      <c r="D2863" s="8" t="s">
        <v>2400</v>
      </c>
      <c r="E2863" s="39">
        <v>648000</v>
      </c>
      <c r="F2863" s="40" t="s">
        <v>2315</v>
      </c>
    </row>
    <row r="2864" spans="2:6">
      <c r="B2864" s="8">
        <v>2861</v>
      </c>
      <c r="C2864" s="8" t="s">
        <v>2401</v>
      </c>
      <c r="D2864" s="8" t="s">
        <v>2402</v>
      </c>
      <c r="E2864" s="39">
        <v>66000</v>
      </c>
      <c r="F2864" s="40" t="s">
        <v>2315</v>
      </c>
    </row>
    <row r="2865" spans="2:6">
      <c r="B2865" s="8">
        <v>2862</v>
      </c>
      <c r="C2865" s="8" t="s">
        <v>501</v>
      </c>
      <c r="D2865" s="8" t="s">
        <v>640</v>
      </c>
      <c r="E2865" s="39">
        <v>162000</v>
      </c>
      <c r="F2865" s="40" t="s">
        <v>2315</v>
      </c>
    </row>
    <row r="2866" spans="2:6">
      <c r="B2866" s="8">
        <v>2863</v>
      </c>
      <c r="C2866" s="8" t="s">
        <v>504</v>
      </c>
      <c r="D2866" s="8" t="s">
        <v>2403</v>
      </c>
      <c r="E2866" s="39">
        <v>1263000</v>
      </c>
      <c r="F2866" s="40" t="s">
        <v>2315</v>
      </c>
    </row>
    <row r="2867" spans="2:6">
      <c r="B2867" s="8">
        <v>2864</v>
      </c>
      <c r="C2867" s="8" t="s">
        <v>504</v>
      </c>
      <c r="D2867" s="8" t="s">
        <v>2404</v>
      </c>
      <c r="E2867" s="39">
        <v>803000</v>
      </c>
      <c r="F2867" s="40" t="s">
        <v>2315</v>
      </c>
    </row>
    <row r="2868" spans="2:6">
      <c r="B2868" s="8">
        <v>2865</v>
      </c>
      <c r="C2868" s="8" t="s">
        <v>505</v>
      </c>
      <c r="D2868" s="8" t="s">
        <v>1240</v>
      </c>
      <c r="E2868" s="39">
        <v>169000</v>
      </c>
      <c r="F2868" s="40" t="s">
        <v>2315</v>
      </c>
    </row>
    <row r="2869" spans="2:6">
      <c r="B2869" s="8">
        <v>2866</v>
      </c>
      <c r="C2869" s="8" t="s">
        <v>510</v>
      </c>
      <c r="D2869" s="8" t="s">
        <v>640</v>
      </c>
      <c r="E2869" s="39">
        <v>835000</v>
      </c>
      <c r="F2869" s="40" t="s">
        <v>2315</v>
      </c>
    </row>
    <row r="2870" spans="2:6">
      <c r="B2870" s="8">
        <v>2867</v>
      </c>
      <c r="C2870" s="8" t="s">
        <v>1659</v>
      </c>
      <c r="D2870" s="8" t="s">
        <v>2405</v>
      </c>
      <c r="E2870" s="39">
        <v>181000</v>
      </c>
      <c r="F2870" s="40" t="s">
        <v>2315</v>
      </c>
    </row>
    <row r="2871" spans="2:6">
      <c r="B2871" s="8">
        <v>2868</v>
      </c>
      <c r="C2871" s="8" t="s">
        <v>1659</v>
      </c>
      <c r="D2871" s="8" t="s">
        <v>345</v>
      </c>
      <c r="E2871" s="39">
        <v>737000</v>
      </c>
      <c r="F2871" s="40" t="s">
        <v>2315</v>
      </c>
    </row>
    <row r="2872" spans="2:6">
      <c r="B2872" s="8">
        <v>2869</v>
      </c>
      <c r="C2872" s="8" t="s">
        <v>1233</v>
      </c>
      <c r="D2872" s="8" t="s">
        <v>198</v>
      </c>
      <c r="E2872" s="39">
        <v>294000</v>
      </c>
      <c r="F2872" s="40" t="s">
        <v>2315</v>
      </c>
    </row>
    <row r="2873" spans="2:6">
      <c r="B2873" s="8">
        <v>2870</v>
      </c>
      <c r="C2873" s="8" t="s">
        <v>1233</v>
      </c>
      <c r="D2873" s="8" t="s">
        <v>317</v>
      </c>
      <c r="E2873" s="39">
        <v>244000</v>
      </c>
      <c r="F2873" s="40" t="s">
        <v>2315</v>
      </c>
    </row>
    <row r="2874" spans="2:6">
      <c r="B2874" s="8">
        <v>2871</v>
      </c>
      <c r="C2874" s="8" t="s">
        <v>1660</v>
      </c>
      <c r="D2874" s="8" t="s">
        <v>2406</v>
      </c>
      <c r="E2874" s="39">
        <v>863000</v>
      </c>
      <c r="F2874" s="40" t="s">
        <v>2315</v>
      </c>
    </row>
    <row r="2875" spans="2:6">
      <c r="B2875" s="8">
        <v>2872</v>
      </c>
      <c r="C2875" s="8" t="s">
        <v>2407</v>
      </c>
      <c r="D2875" s="8" t="s">
        <v>2408</v>
      </c>
      <c r="E2875" s="39">
        <v>826000</v>
      </c>
      <c r="F2875" s="40" t="s">
        <v>2315</v>
      </c>
    </row>
    <row r="2876" spans="2:6">
      <c r="B2876" s="8">
        <v>2873</v>
      </c>
      <c r="C2876" s="8" t="s">
        <v>515</v>
      </c>
      <c r="D2876" s="8" t="s">
        <v>2409</v>
      </c>
      <c r="E2876" s="39">
        <v>500000</v>
      </c>
      <c r="F2876" s="40" t="s">
        <v>2315</v>
      </c>
    </row>
    <row r="2877" spans="2:6">
      <c r="B2877" s="8">
        <v>2874</v>
      </c>
      <c r="C2877" s="8" t="s">
        <v>515</v>
      </c>
      <c r="D2877" s="8" t="s">
        <v>2410</v>
      </c>
      <c r="E2877" s="39">
        <v>169000</v>
      </c>
      <c r="F2877" s="40" t="s">
        <v>2315</v>
      </c>
    </row>
    <row r="2878" spans="2:6">
      <c r="B2878" s="8">
        <v>2875</v>
      </c>
      <c r="C2878" s="8" t="s">
        <v>515</v>
      </c>
      <c r="D2878" s="8" t="s">
        <v>2411</v>
      </c>
      <c r="E2878" s="39">
        <v>382000</v>
      </c>
      <c r="F2878" s="40" t="s">
        <v>2315</v>
      </c>
    </row>
    <row r="2879" spans="2:6">
      <c r="B2879" s="8">
        <v>2876</v>
      </c>
      <c r="C2879" s="8" t="s">
        <v>519</v>
      </c>
      <c r="D2879" s="8" t="s">
        <v>405</v>
      </c>
      <c r="E2879" s="39">
        <v>121000</v>
      </c>
      <c r="F2879" s="40" t="s">
        <v>2315</v>
      </c>
    </row>
    <row r="2880" spans="2:6">
      <c r="B2880" s="8">
        <v>2877</v>
      </c>
      <c r="C2880" s="8" t="s">
        <v>519</v>
      </c>
      <c r="D2880" s="8" t="s">
        <v>621</v>
      </c>
      <c r="E2880" s="39">
        <v>180000</v>
      </c>
      <c r="F2880" s="40" t="s">
        <v>2315</v>
      </c>
    </row>
    <row r="2881" spans="2:6">
      <c r="B2881" s="8">
        <v>2878</v>
      </c>
      <c r="C2881" s="8" t="s">
        <v>519</v>
      </c>
      <c r="D2881" s="8" t="s">
        <v>198</v>
      </c>
      <c r="E2881" s="39">
        <v>572000</v>
      </c>
      <c r="F2881" s="40" t="s">
        <v>2315</v>
      </c>
    </row>
    <row r="2882" spans="2:6">
      <c r="B2882" s="8">
        <v>2879</v>
      </c>
      <c r="C2882" s="8" t="s">
        <v>521</v>
      </c>
      <c r="D2882" s="8" t="s">
        <v>2227</v>
      </c>
      <c r="E2882" s="39">
        <v>127000</v>
      </c>
      <c r="F2882" s="40" t="s">
        <v>2315</v>
      </c>
    </row>
    <row r="2883" spans="2:6">
      <c r="B2883" s="8">
        <v>2880</v>
      </c>
      <c r="C2883" s="8" t="s">
        <v>521</v>
      </c>
      <c r="D2883" s="8" t="s">
        <v>2412</v>
      </c>
      <c r="E2883" s="39">
        <v>97000</v>
      </c>
      <c r="F2883" s="40" t="s">
        <v>2315</v>
      </c>
    </row>
    <row r="2884" spans="2:6">
      <c r="B2884" s="8">
        <v>2881</v>
      </c>
      <c r="C2884" s="8" t="s">
        <v>525</v>
      </c>
      <c r="D2884" s="8" t="s">
        <v>2413</v>
      </c>
      <c r="E2884" s="39">
        <v>131000</v>
      </c>
      <c r="F2884" s="40" t="s">
        <v>2315</v>
      </c>
    </row>
    <row r="2885" spans="2:6">
      <c r="B2885" s="8">
        <v>2882</v>
      </c>
      <c r="C2885" s="8" t="s">
        <v>527</v>
      </c>
      <c r="D2885" s="8" t="s">
        <v>198</v>
      </c>
      <c r="E2885" s="39">
        <v>487000</v>
      </c>
      <c r="F2885" s="40" t="s">
        <v>2315</v>
      </c>
    </row>
    <row r="2886" spans="2:6">
      <c r="B2886" s="8">
        <v>2883</v>
      </c>
      <c r="C2886" s="8" t="s">
        <v>529</v>
      </c>
      <c r="D2886" s="8" t="s">
        <v>211</v>
      </c>
      <c r="E2886" s="39">
        <v>119000</v>
      </c>
      <c r="F2886" s="40" t="s">
        <v>2315</v>
      </c>
    </row>
    <row r="2887" spans="2:6">
      <c r="B2887" s="8">
        <v>2884</v>
      </c>
      <c r="C2887" s="8" t="s">
        <v>529</v>
      </c>
      <c r="D2887" s="8" t="s">
        <v>2414</v>
      </c>
      <c r="E2887" s="39">
        <v>92000</v>
      </c>
      <c r="F2887" s="40" t="s">
        <v>2315</v>
      </c>
    </row>
    <row r="2888" spans="2:6">
      <c r="B2888" s="8">
        <v>2885</v>
      </c>
      <c r="C2888" s="8" t="s">
        <v>529</v>
      </c>
      <c r="D2888" s="8" t="s">
        <v>198</v>
      </c>
      <c r="E2888" s="39">
        <v>1676000</v>
      </c>
      <c r="F2888" s="40" t="s">
        <v>2315</v>
      </c>
    </row>
    <row r="2889" spans="2:6">
      <c r="B2889" s="8">
        <v>2886</v>
      </c>
      <c r="C2889" s="8" t="s">
        <v>530</v>
      </c>
      <c r="D2889" s="8" t="s">
        <v>211</v>
      </c>
      <c r="E2889" s="39">
        <v>141000</v>
      </c>
      <c r="F2889" s="40" t="s">
        <v>2315</v>
      </c>
    </row>
    <row r="2890" spans="2:6">
      <c r="B2890" s="8">
        <v>2887</v>
      </c>
      <c r="C2890" s="8" t="s">
        <v>530</v>
      </c>
      <c r="D2890" s="8" t="s">
        <v>345</v>
      </c>
      <c r="E2890" s="39">
        <v>206000</v>
      </c>
      <c r="F2890" s="40" t="s">
        <v>2315</v>
      </c>
    </row>
    <row r="2891" spans="2:6">
      <c r="B2891" s="8">
        <v>2888</v>
      </c>
      <c r="C2891" s="8" t="s">
        <v>535</v>
      </c>
      <c r="D2891" s="8" t="s">
        <v>2324</v>
      </c>
      <c r="E2891" s="39">
        <v>80000</v>
      </c>
      <c r="F2891" s="40" t="s">
        <v>2315</v>
      </c>
    </row>
    <row r="2892" spans="2:6">
      <c r="B2892" s="8">
        <v>2889</v>
      </c>
      <c r="C2892" s="8" t="s">
        <v>1241</v>
      </c>
      <c r="D2892" s="8" t="s">
        <v>371</v>
      </c>
      <c r="E2892" s="39">
        <v>109000</v>
      </c>
      <c r="F2892" s="40" t="s">
        <v>2315</v>
      </c>
    </row>
    <row r="2893" spans="2:6">
      <c r="B2893" s="8">
        <v>2890</v>
      </c>
      <c r="C2893" s="8" t="s">
        <v>537</v>
      </c>
      <c r="D2893" s="8" t="s">
        <v>405</v>
      </c>
      <c r="E2893" s="39">
        <v>121000</v>
      </c>
      <c r="F2893" s="40" t="s">
        <v>2315</v>
      </c>
    </row>
    <row r="2894" spans="2:6">
      <c r="B2894" s="8">
        <v>2891</v>
      </c>
      <c r="C2894" s="8" t="s">
        <v>1246</v>
      </c>
      <c r="D2894" s="8" t="s">
        <v>2415</v>
      </c>
      <c r="E2894" s="39">
        <v>448000</v>
      </c>
      <c r="F2894" s="40" t="s">
        <v>2315</v>
      </c>
    </row>
    <row r="2895" spans="2:6">
      <c r="B2895" s="8">
        <v>2892</v>
      </c>
      <c r="C2895" s="8" t="s">
        <v>1672</v>
      </c>
      <c r="D2895" s="8" t="s">
        <v>256</v>
      </c>
      <c r="E2895" s="39">
        <v>72000</v>
      </c>
      <c r="F2895" s="40" t="s">
        <v>2315</v>
      </c>
    </row>
    <row r="2896" spans="2:6">
      <c r="B2896" s="8">
        <v>2893</v>
      </c>
      <c r="C2896" s="8" t="s">
        <v>1672</v>
      </c>
      <c r="D2896" s="8" t="s">
        <v>317</v>
      </c>
      <c r="E2896" s="39">
        <v>203000</v>
      </c>
      <c r="F2896" s="40" t="s">
        <v>2315</v>
      </c>
    </row>
    <row r="2897" spans="2:6">
      <c r="B2897" s="8">
        <v>2894</v>
      </c>
      <c r="C2897" s="8" t="s">
        <v>1672</v>
      </c>
      <c r="D2897" s="8" t="s">
        <v>405</v>
      </c>
      <c r="E2897" s="39">
        <v>121000</v>
      </c>
      <c r="F2897" s="40" t="s">
        <v>2315</v>
      </c>
    </row>
    <row r="2898" spans="2:6">
      <c r="B2898" s="8">
        <v>2895</v>
      </c>
      <c r="C2898" s="8" t="s">
        <v>1672</v>
      </c>
      <c r="D2898" s="8" t="s">
        <v>1127</v>
      </c>
      <c r="E2898" s="39">
        <v>3000</v>
      </c>
      <c r="F2898" s="40" t="s">
        <v>2315</v>
      </c>
    </row>
    <row r="2899" spans="2:6">
      <c r="B2899" s="8">
        <v>2896</v>
      </c>
      <c r="C2899" s="8" t="s">
        <v>547</v>
      </c>
      <c r="D2899" s="8" t="s">
        <v>1337</v>
      </c>
      <c r="E2899" s="39">
        <v>426000</v>
      </c>
      <c r="F2899" s="40" t="s">
        <v>2315</v>
      </c>
    </row>
    <row r="2900" spans="2:6">
      <c r="B2900" s="8">
        <v>2897</v>
      </c>
      <c r="C2900" s="8" t="s">
        <v>2416</v>
      </c>
      <c r="D2900" s="8" t="s">
        <v>345</v>
      </c>
      <c r="E2900" s="39">
        <v>169000</v>
      </c>
      <c r="F2900" s="40" t="s">
        <v>2315</v>
      </c>
    </row>
    <row r="2901" spans="2:6">
      <c r="B2901" s="8">
        <v>2898</v>
      </c>
      <c r="C2901" s="8" t="s">
        <v>2416</v>
      </c>
      <c r="D2901" s="8" t="s">
        <v>217</v>
      </c>
      <c r="E2901" s="39">
        <v>1257000</v>
      </c>
      <c r="F2901" s="40" t="s">
        <v>2315</v>
      </c>
    </row>
    <row r="2902" spans="2:6">
      <c r="B2902" s="8">
        <v>2899</v>
      </c>
      <c r="C2902" s="8" t="s">
        <v>2416</v>
      </c>
      <c r="D2902" s="8" t="s">
        <v>2417</v>
      </c>
      <c r="E2902" s="39">
        <v>628000</v>
      </c>
      <c r="F2902" s="40" t="s">
        <v>2315</v>
      </c>
    </row>
    <row r="2903" spans="2:6">
      <c r="B2903" s="8">
        <v>2900</v>
      </c>
      <c r="C2903" s="8" t="s">
        <v>554</v>
      </c>
      <c r="D2903" s="8" t="s">
        <v>1232</v>
      </c>
      <c r="E2903" s="39">
        <v>154000</v>
      </c>
      <c r="F2903" s="40" t="s">
        <v>2315</v>
      </c>
    </row>
    <row r="2904" spans="2:6">
      <c r="B2904" s="8">
        <v>2901</v>
      </c>
      <c r="C2904" s="8" t="s">
        <v>554</v>
      </c>
      <c r="D2904" s="8" t="s">
        <v>1601</v>
      </c>
      <c r="E2904" s="39">
        <v>75000</v>
      </c>
      <c r="F2904" s="40" t="s">
        <v>2315</v>
      </c>
    </row>
    <row r="2905" spans="2:6">
      <c r="B2905" s="8">
        <v>2902</v>
      </c>
      <c r="C2905" s="8" t="s">
        <v>1251</v>
      </c>
      <c r="D2905" s="8" t="s">
        <v>2418</v>
      </c>
      <c r="E2905" s="39">
        <v>351000</v>
      </c>
      <c r="F2905" s="40" t="s">
        <v>2315</v>
      </c>
    </row>
    <row r="2906" spans="2:6">
      <c r="B2906" s="8">
        <v>2903</v>
      </c>
      <c r="C2906" s="8" t="s">
        <v>1251</v>
      </c>
      <c r="D2906" s="8" t="s">
        <v>211</v>
      </c>
      <c r="E2906" s="39">
        <v>166000</v>
      </c>
      <c r="F2906" s="40" t="s">
        <v>2315</v>
      </c>
    </row>
    <row r="2907" spans="2:6">
      <c r="B2907" s="8">
        <v>2904</v>
      </c>
      <c r="C2907" s="8" t="s">
        <v>557</v>
      </c>
      <c r="D2907" s="8" t="s">
        <v>2419</v>
      </c>
      <c r="E2907" s="39">
        <v>655000</v>
      </c>
      <c r="F2907" s="40" t="s">
        <v>2315</v>
      </c>
    </row>
    <row r="2908" spans="2:6">
      <c r="B2908" s="8">
        <v>2905</v>
      </c>
      <c r="C2908" s="8" t="s">
        <v>557</v>
      </c>
      <c r="D2908" s="8" t="s">
        <v>272</v>
      </c>
      <c r="E2908" s="39">
        <v>1751000</v>
      </c>
      <c r="F2908" s="40" t="s">
        <v>2315</v>
      </c>
    </row>
    <row r="2909" spans="2:6">
      <c r="B2909" s="8">
        <v>2906</v>
      </c>
      <c r="C2909" s="8" t="s">
        <v>2420</v>
      </c>
      <c r="D2909" s="8" t="s">
        <v>2421</v>
      </c>
      <c r="E2909" s="39">
        <v>1311000</v>
      </c>
      <c r="F2909" s="40" t="s">
        <v>2315</v>
      </c>
    </row>
    <row r="2910" spans="2:6">
      <c r="B2910" s="8">
        <v>2907</v>
      </c>
      <c r="C2910" s="8" t="s">
        <v>562</v>
      </c>
      <c r="D2910" s="8" t="s">
        <v>699</v>
      </c>
      <c r="E2910" s="39">
        <v>166000</v>
      </c>
      <c r="F2910" s="40" t="s">
        <v>2315</v>
      </c>
    </row>
    <row r="2911" spans="2:6">
      <c r="B2911" s="8">
        <v>2908</v>
      </c>
      <c r="C2911" s="8" t="s">
        <v>562</v>
      </c>
      <c r="D2911" s="8" t="s">
        <v>211</v>
      </c>
      <c r="E2911" s="39">
        <v>100000</v>
      </c>
      <c r="F2911" s="40" t="s">
        <v>2315</v>
      </c>
    </row>
    <row r="2912" spans="2:6">
      <c r="B2912" s="8">
        <v>2909</v>
      </c>
      <c r="C2912" s="8" t="s">
        <v>562</v>
      </c>
      <c r="D2912" s="8" t="s">
        <v>1726</v>
      </c>
      <c r="E2912" s="39">
        <v>963000</v>
      </c>
      <c r="F2912" s="40" t="s">
        <v>2315</v>
      </c>
    </row>
    <row r="2913" spans="2:6">
      <c r="B2913" s="8">
        <v>2910</v>
      </c>
      <c r="C2913" s="8" t="s">
        <v>1097</v>
      </c>
      <c r="D2913" s="8" t="s">
        <v>2422</v>
      </c>
      <c r="E2913" s="39">
        <v>653000</v>
      </c>
      <c r="F2913" s="40" t="s">
        <v>2315</v>
      </c>
    </row>
    <row r="2914" spans="2:6">
      <c r="B2914" s="8">
        <v>2911</v>
      </c>
      <c r="C2914" s="8" t="s">
        <v>1256</v>
      </c>
      <c r="D2914" s="8" t="s">
        <v>345</v>
      </c>
      <c r="E2914" s="39">
        <v>951000</v>
      </c>
      <c r="F2914" s="40" t="s">
        <v>2315</v>
      </c>
    </row>
    <row r="2915" spans="2:6">
      <c r="B2915" s="8">
        <v>2912</v>
      </c>
      <c r="C2915" s="8" t="s">
        <v>564</v>
      </c>
      <c r="D2915" s="8" t="s">
        <v>2423</v>
      </c>
      <c r="E2915" s="39">
        <v>220000</v>
      </c>
      <c r="F2915" s="40" t="s">
        <v>2315</v>
      </c>
    </row>
    <row r="2916" spans="2:6">
      <c r="B2916" s="8">
        <v>2913</v>
      </c>
      <c r="C2916" s="8" t="s">
        <v>1258</v>
      </c>
      <c r="D2916" s="8" t="s">
        <v>211</v>
      </c>
      <c r="E2916" s="39">
        <v>721000</v>
      </c>
      <c r="F2916" s="40" t="s">
        <v>2315</v>
      </c>
    </row>
    <row r="2917" spans="2:6">
      <c r="B2917" s="8">
        <v>2914</v>
      </c>
      <c r="C2917" s="8" t="s">
        <v>1680</v>
      </c>
      <c r="D2917" s="8" t="s">
        <v>699</v>
      </c>
      <c r="E2917" s="39">
        <v>208000</v>
      </c>
      <c r="F2917" s="40" t="s">
        <v>2315</v>
      </c>
    </row>
    <row r="2918" spans="2:6">
      <c r="B2918" s="8">
        <v>2915</v>
      </c>
      <c r="C2918" s="8" t="s">
        <v>1681</v>
      </c>
      <c r="D2918" s="8" t="s">
        <v>198</v>
      </c>
      <c r="E2918" s="39">
        <v>796000</v>
      </c>
      <c r="F2918" s="40" t="s">
        <v>2315</v>
      </c>
    </row>
    <row r="2919" spans="2:6">
      <c r="B2919" s="8">
        <v>2916</v>
      </c>
      <c r="C2919" s="8" t="s">
        <v>1681</v>
      </c>
      <c r="D2919" s="8" t="s">
        <v>2424</v>
      </c>
      <c r="E2919" s="39">
        <v>62000</v>
      </c>
      <c r="F2919" s="40" t="s">
        <v>2315</v>
      </c>
    </row>
    <row r="2920" spans="2:6">
      <c r="B2920" s="8">
        <v>2917</v>
      </c>
      <c r="C2920" s="8" t="s">
        <v>568</v>
      </c>
      <c r="D2920" s="8" t="s">
        <v>211</v>
      </c>
      <c r="E2920" s="39">
        <v>611000</v>
      </c>
      <c r="F2920" s="40" t="s">
        <v>2315</v>
      </c>
    </row>
    <row r="2921" spans="2:6">
      <c r="B2921" s="8">
        <v>2918</v>
      </c>
      <c r="C2921" s="8" t="s">
        <v>568</v>
      </c>
      <c r="D2921" s="8" t="s">
        <v>2425</v>
      </c>
      <c r="E2921" s="39">
        <v>91000</v>
      </c>
      <c r="F2921" s="40" t="s">
        <v>2315</v>
      </c>
    </row>
    <row r="2922" spans="2:6">
      <c r="B2922" s="8">
        <v>2919</v>
      </c>
      <c r="C2922" s="8" t="s">
        <v>568</v>
      </c>
      <c r="D2922" s="8" t="s">
        <v>2426</v>
      </c>
      <c r="E2922" s="39">
        <v>1320000</v>
      </c>
      <c r="F2922" s="40" t="s">
        <v>2315</v>
      </c>
    </row>
    <row r="2923" spans="2:6">
      <c r="B2923" s="8">
        <v>2920</v>
      </c>
      <c r="C2923" s="8" t="s">
        <v>574</v>
      </c>
      <c r="D2923" s="8" t="s">
        <v>2050</v>
      </c>
      <c r="E2923" s="39">
        <v>197000</v>
      </c>
      <c r="F2923" s="40" t="s">
        <v>2315</v>
      </c>
    </row>
    <row r="2924" spans="2:6">
      <c r="B2924" s="8">
        <v>2921</v>
      </c>
      <c r="C2924" s="8" t="s">
        <v>576</v>
      </c>
      <c r="D2924" s="8" t="s">
        <v>2427</v>
      </c>
      <c r="E2924" s="39">
        <v>726000</v>
      </c>
      <c r="F2924" s="40" t="s">
        <v>2315</v>
      </c>
    </row>
    <row r="2925" spans="2:6">
      <c r="B2925" s="8">
        <v>2922</v>
      </c>
      <c r="C2925" s="8" t="s">
        <v>580</v>
      </c>
      <c r="D2925" s="8" t="s">
        <v>2428</v>
      </c>
      <c r="E2925" s="39">
        <v>369000</v>
      </c>
      <c r="F2925" s="40" t="s">
        <v>2315</v>
      </c>
    </row>
    <row r="2926" spans="2:6">
      <c r="B2926" s="8">
        <v>2923</v>
      </c>
      <c r="C2926" s="8" t="s">
        <v>583</v>
      </c>
      <c r="D2926" s="8" t="s">
        <v>508</v>
      </c>
      <c r="E2926" s="39">
        <v>67000</v>
      </c>
      <c r="F2926" s="40" t="s">
        <v>2315</v>
      </c>
    </row>
    <row r="2927" spans="2:6">
      <c r="B2927" s="8">
        <v>2924</v>
      </c>
      <c r="C2927" s="8" t="s">
        <v>583</v>
      </c>
      <c r="D2927" s="8" t="s">
        <v>2429</v>
      </c>
      <c r="E2927" s="39">
        <v>153000</v>
      </c>
      <c r="F2927" s="40" t="s">
        <v>2315</v>
      </c>
    </row>
    <row r="2928" spans="2:6">
      <c r="B2928" s="8">
        <v>2925</v>
      </c>
      <c r="C2928" s="8" t="s">
        <v>1273</v>
      </c>
      <c r="D2928" s="8" t="s">
        <v>196</v>
      </c>
      <c r="E2928" s="39">
        <v>100000</v>
      </c>
      <c r="F2928" s="40" t="s">
        <v>2315</v>
      </c>
    </row>
    <row r="2929" spans="2:6">
      <c r="B2929" s="8">
        <v>2926</v>
      </c>
      <c r="C2929" s="8" t="s">
        <v>1273</v>
      </c>
      <c r="D2929" s="8" t="s">
        <v>217</v>
      </c>
      <c r="E2929" s="39">
        <v>718000</v>
      </c>
      <c r="F2929" s="40" t="s">
        <v>2315</v>
      </c>
    </row>
    <row r="2930" spans="2:6">
      <c r="B2930" s="8">
        <v>2927</v>
      </c>
      <c r="C2930" s="8" t="s">
        <v>593</v>
      </c>
      <c r="D2930" s="8" t="s">
        <v>2430</v>
      </c>
      <c r="E2930" s="39">
        <v>436000</v>
      </c>
      <c r="F2930" s="40" t="s">
        <v>2315</v>
      </c>
    </row>
    <row r="2931" spans="2:6">
      <c r="B2931" s="8">
        <v>2928</v>
      </c>
      <c r="C2931" s="8" t="s">
        <v>597</v>
      </c>
      <c r="D2931" s="8" t="s">
        <v>1114</v>
      </c>
      <c r="E2931" s="39">
        <v>1155000</v>
      </c>
      <c r="F2931" s="40" t="s">
        <v>2315</v>
      </c>
    </row>
    <row r="2932" spans="2:6">
      <c r="B2932" s="8">
        <v>2929</v>
      </c>
      <c r="C2932" s="8" t="s">
        <v>2072</v>
      </c>
      <c r="D2932" s="8" t="s">
        <v>2431</v>
      </c>
      <c r="E2932" s="39">
        <v>238000</v>
      </c>
      <c r="F2932" s="40" t="s">
        <v>2315</v>
      </c>
    </row>
    <row r="2933" spans="2:6">
      <c r="B2933" s="8">
        <v>2930</v>
      </c>
      <c r="C2933" s="8" t="s">
        <v>599</v>
      </c>
      <c r="D2933" s="8" t="s">
        <v>2423</v>
      </c>
      <c r="E2933" s="39">
        <v>220000</v>
      </c>
      <c r="F2933" s="40" t="s">
        <v>2315</v>
      </c>
    </row>
    <row r="2934" spans="2:6">
      <c r="B2934" s="8">
        <v>2931</v>
      </c>
      <c r="C2934" s="8" t="s">
        <v>599</v>
      </c>
      <c r="D2934" s="8" t="s">
        <v>211</v>
      </c>
      <c r="E2934" s="39">
        <v>381000</v>
      </c>
      <c r="F2934" s="40" t="s">
        <v>2315</v>
      </c>
    </row>
    <row r="2935" spans="2:6">
      <c r="B2935" s="8">
        <v>2932</v>
      </c>
      <c r="C2935" s="8" t="s">
        <v>1277</v>
      </c>
      <c r="D2935" s="8" t="s">
        <v>2324</v>
      </c>
      <c r="E2935" s="39">
        <v>80000</v>
      </c>
      <c r="F2935" s="40" t="s">
        <v>2315</v>
      </c>
    </row>
    <row r="2936" spans="2:6">
      <c r="B2936" s="8">
        <v>2933</v>
      </c>
      <c r="C2936" s="8" t="s">
        <v>601</v>
      </c>
      <c r="D2936" s="8" t="s">
        <v>688</v>
      </c>
      <c r="E2936" s="39">
        <v>667000</v>
      </c>
      <c r="F2936" s="40" t="s">
        <v>2315</v>
      </c>
    </row>
    <row r="2937" spans="2:6">
      <c r="B2937" s="8">
        <v>2934</v>
      </c>
      <c r="C2937" s="8" t="s">
        <v>2432</v>
      </c>
      <c r="D2937" s="8" t="s">
        <v>640</v>
      </c>
      <c r="E2937" s="39">
        <v>130000</v>
      </c>
      <c r="F2937" s="40" t="s">
        <v>2315</v>
      </c>
    </row>
    <row r="2938" spans="2:6">
      <c r="B2938" s="8">
        <v>2935</v>
      </c>
      <c r="C2938" s="8" t="s">
        <v>602</v>
      </c>
      <c r="D2938" s="8" t="s">
        <v>198</v>
      </c>
      <c r="E2938" s="39">
        <v>476000</v>
      </c>
      <c r="F2938" s="40" t="s">
        <v>2315</v>
      </c>
    </row>
    <row r="2939" spans="2:6">
      <c r="B2939" s="8">
        <v>2936</v>
      </c>
      <c r="C2939" s="8" t="s">
        <v>602</v>
      </c>
      <c r="D2939" s="8" t="s">
        <v>2433</v>
      </c>
      <c r="E2939" s="39">
        <v>73000</v>
      </c>
      <c r="F2939" s="40" t="s">
        <v>2315</v>
      </c>
    </row>
    <row r="2940" spans="2:6">
      <c r="B2940" s="8">
        <v>2937</v>
      </c>
      <c r="C2940" s="8" t="s">
        <v>1699</v>
      </c>
      <c r="D2940" s="8" t="s">
        <v>2434</v>
      </c>
      <c r="E2940" s="39">
        <v>515000</v>
      </c>
      <c r="F2940" s="40" t="s">
        <v>2315</v>
      </c>
    </row>
    <row r="2941" spans="2:6">
      <c r="B2941" s="8">
        <v>2938</v>
      </c>
      <c r="C2941" s="8" t="s">
        <v>1699</v>
      </c>
      <c r="D2941" s="8" t="s">
        <v>211</v>
      </c>
      <c r="E2941" s="39">
        <v>151000</v>
      </c>
      <c r="F2941" s="40" t="s">
        <v>2315</v>
      </c>
    </row>
    <row r="2942" spans="2:6">
      <c r="B2942" s="8">
        <v>2939</v>
      </c>
      <c r="C2942" s="8" t="s">
        <v>604</v>
      </c>
      <c r="D2942" s="8" t="s">
        <v>2435</v>
      </c>
      <c r="E2942" s="39">
        <v>114000</v>
      </c>
      <c r="F2942" s="40" t="s">
        <v>2315</v>
      </c>
    </row>
    <row r="2943" spans="2:6">
      <c r="B2943" s="8">
        <v>2940</v>
      </c>
      <c r="C2943" s="8" t="s">
        <v>604</v>
      </c>
      <c r="D2943" s="8" t="s">
        <v>2436</v>
      </c>
      <c r="E2943" s="39">
        <v>237000</v>
      </c>
      <c r="F2943" s="40" t="s">
        <v>2315</v>
      </c>
    </row>
    <row r="2944" spans="2:6">
      <c r="B2944" s="8">
        <v>2941</v>
      </c>
      <c r="C2944" s="8" t="s">
        <v>607</v>
      </c>
      <c r="D2944" s="8" t="s">
        <v>2437</v>
      </c>
      <c r="E2944" s="39">
        <v>677000</v>
      </c>
      <c r="F2944" s="40" t="s">
        <v>2315</v>
      </c>
    </row>
    <row r="2945" spans="2:6">
      <c r="B2945" s="8">
        <v>2942</v>
      </c>
      <c r="C2945" s="8" t="s">
        <v>1703</v>
      </c>
      <c r="D2945" s="8" t="s">
        <v>610</v>
      </c>
      <c r="E2945" s="39">
        <v>1296000</v>
      </c>
      <c r="F2945" s="40" t="s">
        <v>2315</v>
      </c>
    </row>
    <row r="2946" spans="2:6">
      <c r="B2946" s="8">
        <v>2943</v>
      </c>
      <c r="C2946" s="8" t="s">
        <v>612</v>
      </c>
      <c r="D2946" s="8" t="s">
        <v>2438</v>
      </c>
      <c r="E2946" s="39">
        <v>1351000</v>
      </c>
      <c r="F2946" s="40" t="s">
        <v>2315</v>
      </c>
    </row>
    <row r="2947" spans="2:6">
      <c r="B2947" s="8">
        <v>2944</v>
      </c>
      <c r="C2947" s="8" t="s">
        <v>612</v>
      </c>
      <c r="D2947" s="8" t="s">
        <v>198</v>
      </c>
      <c r="E2947" s="39">
        <v>455000</v>
      </c>
      <c r="F2947" s="40" t="s">
        <v>2315</v>
      </c>
    </row>
    <row r="2948" spans="2:6">
      <c r="B2948" s="8">
        <v>2945</v>
      </c>
      <c r="C2948" s="8" t="s">
        <v>612</v>
      </c>
      <c r="D2948" s="8" t="s">
        <v>317</v>
      </c>
      <c r="E2948" s="39">
        <v>386000</v>
      </c>
      <c r="F2948" s="40" t="s">
        <v>2315</v>
      </c>
    </row>
    <row r="2949" spans="2:6">
      <c r="B2949" s="8">
        <v>2946</v>
      </c>
      <c r="C2949" s="8" t="s">
        <v>1282</v>
      </c>
      <c r="D2949" s="8" t="s">
        <v>2439</v>
      </c>
      <c r="E2949" s="39">
        <v>154000</v>
      </c>
      <c r="F2949" s="40" t="s">
        <v>2315</v>
      </c>
    </row>
    <row r="2950" spans="2:6">
      <c r="B2950" s="8">
        <v>2947</v>
      </c>
      <c r="C2950" s="8" t="s">
        <v>615</v>
      </c>
      <c r="D2950" s="8" t="s">
        <v>2365</v>
      </c>
      <c r="E2950" s="39">
        <v>320000</v>
      </c>
      <c r="F2950" s="40" t="s">
        <v>2315</v>
      </c>
    </row>
    <row r="2951" spans="2:6">
      <c r="B2951" s="8">
        <v>2948</v>
      </c>
      <c r="C2951" s="8" t="s">
        <v>615</v>
      </c>
      <c r="D2951" s="8" t="s">
        <v>2440</v>
      </c>
      <c r="E2951" s="39">
        <v>112000</v>
      </c>
      <c r="F2951" s="40" t="s">
        <v>2315</v>
      </c>
    </row>
    <row r="2952" spans="2:6">
      <c r="B2952" s="8">
        <v>2949</v>
      </c>
      <c r="C2952" s="8" t="s">
        <v>615</v>
      </c>
      <c r="D2952" s="8" t="s">
        <v>198</v>
      </c>
      <c r="E2952" s="39">
        <v>1298000</v>
      </c>
      <c r="F2952" s="40" t="s">
        <v>2315</v>
      </c>
    </row>
    <row r="2953" spans="2:6">
      <c r="B2953" s="8">
        <v>2950</v>
      </c>
      <c r="C2953" s="8" t="s">
        <v>615</v>
      </c>
      <c r="D2953" s="8" t="s">
        <v>211</v>
      </c>
      <c r="E2953" s="39">
        <v>291000</v>
      </c>
      <c r="F2953" s="40" t="s">
        <v>2315</v>
      </c>
    </row>
    <row r="2954" spans="2:6">
      <c r="B2954" s="8">
        <v>2951</v>
      </c>
      <c r="C2954" s="8" t="s">
        <v>2441</v>
      </c>
      <c r="D2954" s="8" t="s">
        <v>339</v>
      </c>
      <c r="E2954" s="39">
        <v>158000</v>
      </c>
      <c r="F2954" s="40" t="s">
        <v>2315</v>
      </c>
    </row>
    <row r="2955" spans="2:6">
      <c r="B2955" s="8">
        <v>2952</v>
      </c>
      <c r="C2955" s="8" t="s">
        <v>1712</v>
      </c>
      <c r="D2955" s="8" t="s">
        <v>2442</v>
      </c>
      <c r="E2955" s="39">
        <v>463000</v>
      </c>
      <c r="F2955" s="40" t="s">
        <v>2315</v>
      </c>
    </row>
    <row r="2956" spans="2:6">
      <c r="B2956" s="8">
        <v>2953</v>
      </c>
      <c r="C2956" s="8" t="s">
        <v>1289</v>
      </c>
      <c r="D2956" s="8" t="s">
        <v>405</v>
      </c>
      <c r="E2956" s="39">
        <v>121000</v>
      </c>
      <c r="F2956" s="40" t="s">
        <v>2315</v>
      </c>
    </row>
    <row r="2957" spans="2:6">
      <c r="B2957" s="8">
        <v>2954</v>
      </c>
      <c r="C2957" s="8" t="s">
        <v>1289</v>
      </c>
      <c r="D2957" s="8" t="s">
        <v>1555</v>
      </c>
      <c r="E2957" s="39">
        <v>454000</v>
      </c>
      <c r="F2957" s="40" t="s">
        <v>2315</v>
      </c>
    </row>
    <row r="2958" spans="2:6">
      <c r="B2958" s="8">
        <v>2955</v>
      </c>
      <c r="C2958" s="8" t="s">
        <v>625</v>
      </c>
      <c r="D2958" s="8" t="s">
        <v>211</v>
      </c>
      <c r="E2958" s="39">
        <v>437000</v>
      </c>
      <c r="F2958" s="40" t="s">
        <v>2315</v>
      </c>
    </row>
    <row r="2959" spans="2:6">
      <c r="B2959" s="8">
        <v>2956</v>
      </c>
      <c r="C2959" s="8" t="s">
        <v>627</v>
      </c>
      <c r="D2959" s="8" t="s">
        <v>932</v>
      </c>
      <c r="E2959" s="39">
        <v>59000</v>
      </c>
      <c r="F2959" s="40" t="s">
        <v>2315</v>
      </c>
    </row>
    <row r="2960" spans="2:6">
      <c r="B2960" s="8">
        <v>2957</v>
      </c>
      <c r="C2960" s="8" t="s">
        <v>628</v>
      </c>
      <c r="D2960" s="8" t="s">
        <v>2443</v>
      </c>
      <c r="E2960" s="39">
        <v>208000</v>
      </c>
      <c r="F2960" s="40" t="s">
        <v>2315</v>
      </c>
    </row>
    <row r="2961" spans="2:6">
      <c r="B2961" s="8">
        <v>2958</v>
      </c>
      <c r="C2961" s="8" t="s">
        <v>633</v>
      </c>
      <c r="D2961" s="8" t="s">
        <v>2444</v>
      </c>
      <c r="E2961" s="39">
        <v>212000</v>
      </c>
      <c r="F2961" s="40" t="s">
        <v>2315</v>
      </c>
    </row>
    <row r="2962" spans="2:6">
      <c r="B2962" s="8">
        <v>2959</v>
      </c>
      <c r="C2962" s="8" t="s">
        <v>633</v>
      </c>
      <c r="D2962" s="8" t="s">
        <v>2445</v>
      </c>
      <c r="E2962" s="39">
        <v>379000</v>
      </c>
      <c r="F2962" s="40" t="s">
        <v>2315</v>
      </c>
    </row>
    <row r="2963" spans="2:6">
      <c r="B2963" s="8">
        <v>2960</v>
      </c>
      <c r="C2963" s="8" t="s">
        <v>2446</v>
      </c>
      <c r="D2963" s="8" t="s">
        <v>345</v>
      </c>
      <c r="E2963" s="39">
        <v>3491000</v>
      </c>
      <c r="F2963" s="40" t="s">
        <v>2315</v>
      </c>
    </row>
    <row r="2964" spans="2:6">
      <c r="B2964" s="8">
        <v>2961</v>
      </c>
      <c r="C2964" s="8" t="s">
        <v>2084</v>
      </c>
      <c r="D2964" s="8" t="s">
        <v>198</v>
      </c>
      <c r="E2964" s="39">
        <v>476000</v>
      </c>
      <c r="F2964" s="40" t="s">
        <v>2315</v>
      </c>
    </row>
    <row r="2965" spans="2:6">
      <c r="B2965" s="8">
        <v>2962</v>
      </c>
      <c r="C2965" s="8" t="s">
        <v>2447</v>
      </c>
      <c r="D2965" s="8" t="s">
        <v>640</v>
      </c>
      <c r="E2965" s="39">
        <v>725000</v>
      </c>
      <c r="F2965" s="40" t="s">
        <v>2315</v>
      </c>
    </row>
    <row r="2966" spans="2:6">
      <c r="B2966" s="8">
        <v>2963</v>
      </c>
      <c r="C2966" s="8" t="s">
        <v>2447</v>
      </c>
      <c r="D2966" s="8" t="s">
        <v>217</v>
      </c>
      <c r="E2966" s="39">
        <v>561000</v>
      </c>
      <c r="F2966" s="40" t="s">
        <v>2315</v>
      </c>
    </row>
    <row r="2967" spans="2:6">
      <c r="B2967" s="8">
        <v>2964</v>
      </c>
      <c r="C2967" s="8" t="s">
        <v>2086</v>
      </c>
      <c r="D2967" s="8" t="s">
        <v>2448</v>
      </c>
      <c r="E2967" s="39">
        <v>532000</v>
      </c>
      <c r="F2967" s="40" t="s">
        <v>2315</v>
      </c>
    </row>
    <row r="2968" spans="2:6">
      <c r="B2968" s="8">
        <v>2965</v>
      </c>
      <c r="C2968" s="8" t="s">
        <v>638</v>
      </c>
      <c r="D2968" s="8" t="s">
        <v>2423</v>
      </c>
      <c r="E2968" s="39">
        <v>220000</v>
      </c>
      <c r="F2968" s="40" t="s">
        <v>2315</v>
      </c>
    </row>
    <row r="2969" spans="2:6">
      <c r="B2969" s="8">
        <v>2966</v>
      </c>
      <c r="C2969" s="8" t="s">
        <v>638</v>
      </c>
      <c r="D2969" s="8" t="s">
        <v>198</v>
      </c>
      <c r="E2969" s="39">
        <v>455000</v>
      </c>
      <c r="F2969" s="40" t="s">
        <v>2315</v>
      </c>
    </row>
    <row r="2970" spans="2:6">
      <c r="B2970" s="8">
        <v>2967</v>
      </c>
      <c r="C2970" s="8" t="s">
        <v>639</v>
      </c>
      <c r="D2970" s="8" t="s">
        <v>2449</v>
      </c>
      <c r="E2970" s="39">
        <v>119000</v>
      </c>
      <c r="F2970" s="40" t="s">
        <v>2315</v>
      </c>
    </row>
    <row r="2971" spans="2:6">
      <c r="B2971" s="8">
        <v>2968</v>
      </c>
      <c r="C2971" s="8" t="s">
        <v>639</v>
      </c>
      <c r="D2971" s="8" t="s">
        <v>699</v>
      </c>
      <c r="E2971" s="39">
        <v>381000</v>
      </c>
      <c r="F2971" s="40" t="s">
        <v>2315</v>
      </c>
    </row>
    <row r="2972" spans="2:6">
      <c r="B2972" s="8">
        <v>2969</v>
      </c>
      <c r="C2972" s="8" t="s">
        <v>642</v>
      </c>
      <c r="D2972" s="8" t="s">
        <v>2450</v>
      </c>
      <c r="E2972" s="39">
        <v>175000</v>
      </c>
      <c r="F2972" s="40" t="s">
        <v>2315</v>
      </c>
    </row>
    <row r="2973" spans="2:6">
      <c r="B2973" s="8">
        <v>2970</v>
      </c>
      <c r="C2973" s="8" t="s">
        <v>645</v>
      </c>
      <c r="D2973" s="8" t="s">
        <v>2451</v>
      </c>
      <c r="E2973" s="39">
        <v>649000</v>
      </c>
      <c r="F2973" s="40" t="s">
        <v>2315</v>
      </c>
    </row>
    <row r="2974" spans="2:6">
      <c r="B2974" s="8">
        <v>2971</v>
      </c>
      <c r="C2974" s="8" t="s">
        <v>656</v>
      </c>
      <c r="D2974" s="8" t="s">
        <v>217</v>
      </c>
      <c r="E2974" s="39">
        <v>284000</v>
      </c>
      <c r="F2974" s="40" t="s">
        <v>2315</v>
      </c>
    </row>
    <row r="2975" spans="2:6">
      <c r="B2975" s="8">
        <v>2972</v>
      </c>
      <c r="C2975" s="8" t="s">
        <v>658</v>
      </c>
      <c r="D2975" s="8" t="s">
        <v>2452</v>
      </c>
      <c r="E2975" s="39">
        <v>90000</v>
      </c>
      <c r="F2975" s="40" t="s">
        <v>2315</v>
      </c>
    </row>
    <row r="2976" spans="2:6">
      <c r="B2976" s="8">
        <v>2973</v>
      </c>
      <c r="C2976" s="8" t="s">
        <v>658</v>
      </c>
      <c r="D2976" s="8" t="s">
        <v>2453</v>
      </c>
      <c r="E2976" s="39">
        <v>820000</v>
      </c>
      <c r="F2976" s="40" t="s">
        <v>2315</v>
      </c>
    </row>
    <row r="2977" spans="2:6">
      <c r="B2977" s="8">
        <v>2974</v>
      </c>
      <c r="C2977" s="8" t="s">
        <v>660</v>
      </c>
      <c r="D2977" s="8" t="s">
        <v>2454</v>
      </c>
      <c r="E2977" s="39">
        <v>390000</v>
      </c>
      <c r="F2977" s="40" t="s">
        <v>2315</v>
      </c>
    </row>
    <row r="2978" spans="2:6">
      <c r="B2978" s="8">
        <v>2975</v>
      </c>
      <c r="C2978" s="8" t="s">
        <v>662</v>
      </c>
      <c r="D2978" s="8" t="s">
        <v>217</v>
      </c>
      <c r="E2978" s="39">
        <v>2621000</v>
      </c>
      <c r="F2978" s="40" t="s">
        <v>2315</v>
      </c>
    </row>
    <row r="2979" spans="2:6">
      <c r="B2979" s="8">
        <v>2976</v>
      </c>
      <c r="C2979" s="8" t="s">
        <v>662</v>
      </c>
      <c r="D2979" s="8" t="s">
        <v>217</v>
      </c>
      <c r="E2979" s="39">
        <v>446000</v>
      </c>
      <c r="F2979" s="40" t="s">
        <v>2315</v>
      </c>
    </row>
    <row r="2980" spans="2:6">
      <c r="B2980" s="8">
        <v>2977</v>
      </c>
      <c r="C2980" s="8" t="s">
        <v>664</v>
      </c>
      <c r="D2980" s="8" t="s">
        <v>398</v>
      </c>
      <c r="E2980" s="39">
        <v>110000</v>
      </c>
      <c r="F2980" s="40" t="s">
        <v>2315</v>
      </c>
    </row>
    <row r="2981" spans="2:6">
      <c r="B2981" s="8">
        <v>2978</v>
      </c>
      <c r="C2981" s="8" t="s">
        <v>1311</v>
      </c>
      <c r="D2981" s="8" t="s">
        <v>2455</v>
      </c>
      <c r="E2981" s="39">
        <v>306000</v>
      </c>
      <c r="F2981" s="40" t="s">
        <v>2315</v>
      </c>
    </row>
    <row r="2982" spans="2:6">
      <c r="B2982" s="8">
        <v>2979</v>
      </c>
      <c r="C2982" s="8" t="s">
        <v>666</v>
      </c>
      <c r="D2982" s="8" t="s">
        <v>2423</v>
      </c>
      <c r="E2982" s="39">
        <v>220000</v>
      </c>
      <c r="F2982" s="40" t="s">
        <v>2315</v>
      </c>
    </row>
    <row r="2983" spans="2:6">
      <c r="B2983" s="8">
        <v>2980</v>
      </c>
      <c r="C2983" s="8" t="s">
        <v>666</v>
      </c>
      <c r="D2983" s="8" t="s">
        <v>621</v>
      </c>
      <c r="E2983" s="39">
        <v>201000</v>
      </c>
      <c r="F2983" s="40" t="s">
        <v>2315</v>
      </c>
    </row>
    <row r="2984" spans="2:6">
      <c r="B2984" s="8">
        <v>2981</v>
      </c>
      <c r="C2984" s="8" t="s">
        <v>671</v>
      </c>
      <c r="D2984" s="8" t="s">
        <v>1010</v>
      </c>
      <c r="E2984" s="39">
        <v>90000</v>
      </c>
      <c r="F2984" s="40" t="s">
        <v>2315</v>
      </c>
    </row>
    <row r="2985" spans="2:6">
      <c r="B2985" s="8">
        <v>2982</v>
      </c>
      <c r="C2985" s="8" t="s">
        <v>673</v>
      </c>
      <c r="D2985" s="8" t="s">
        <v>2456</v>
      </c>
      <c r="E2985" s="39">
        <v>404000</v>
      </c>
      <c r="F2985" s="40" t="s">
        <v>2315</v>
      </c>
    </row>
    <row r="2986" spans="2:6">
      <c r="B2986" s="8">
        <v>2983</v>
      </c>
      <c r="C2986" s="8" t="s">
        <v>673</v>
      </c>
      <c r="D2986" s="8" t="s">
        <v>198</v>
      </c>
      <c r="E2986" s="39">
        <v>1131000</v>
      </c>
      <c r="F2986" s="40" t="s">
        <v>2315</v>
      </c>
    </row>
    <row r="2987" spans="2:6">
      <c r="B2987" s="8">
        <v>2984</v>
      </c>
      <c r="C2987" s="8" t="s">
        <v>2457</v>
      </c>
      <c r="D2987" s="8" t="s">
        <v>211</v>
      </c>
      <c r="E2987" s="39">
        <v>232000</v>
      </c>
      <c r="F2987" s="40" t="s">
        <v>2315</v>
      </c>
    </row>
    <row r="2988" spans="2:6">
      <c r="B2988" s="8">
        <v>2985</v>
      </c>
      <c r="C2988" s="8" t="s">
        <v>675</v>
      </c>
      <c r="D2988" s="8" t="s">
        <v>199</v>
      </c>
      <c r="E2988" s="39">
        <v>53000</v>
      </c>
      <c r="F2988" s="40" t="s">
        <v>2315</v>
      </c>
    </row>
    <row r="2989" spans="2:6">
      <c r="B2989" s="8">
        <v>2986</v>
      </c>
      <c r="C2989" s="8" t="s">
        <v>675</v>
      </c>
      <c r="D2989" s="8" t="s">
        <v>2458</v>
      </c>
      <c r="E2989" s="39">
        <v>174000</v>
      </c>
      <c r="F2989" s="40" t="s">
        <v>2315</v>
      </c>
    </row>
    <row r="2990" spans="2:6">
      <c r="B2990" s="8">
        <v>2987</v>
      </c>
      <c r="C2990" s="8" t="s">
        <v>677</v>
      </c>
      <c r="D2990" s="8" t="s">
        <v>211</v>
      </c>
      <c r="E2990" s="39">
        <v>592000</v>
      </c>
      <c r="F2990" s="40" t="s">
        <v>2315</v>
      </c>
    </row>
    <row r="2991" spans="2:6">
      <c r="B2991" s="8">
        <v>2988</v>
      </c>
      <c r="C2991" s="8" t="s">
        <v>677</v>
      </c>
      <c r="D2991" s="8" t="s">
        <v>2459</v>
      </c>
      <c r="E2991" s="39">
        <v>81000</v>
      </c>
      <c r="F2991" s="40" t="s">
        <v>2315</v>
      </c>
    </row>
    <row r="2992" spans="2:6">
      <c r="B2992" s="8">
        <v>2989</v>
      </c>
      <c r="C2992" s="8" t="s">
        <v>1318</v>
      </c>
      <c r="D2992" s="8" t="s">
        <v>2460</v>
      </c>
      <c r="E2992" s="39">
        <v>777000</v>
      </c>
      <c r="F2992" s="40" t="s">
        <v>2315</v>
      </c>
    </row>
    <row r="2993" spans="2:6">
      <c r="B2993" s="8">
        <v>2990</v>
      </c>
      <c r="C2993" s="8" t="s">
        <v>2097</v>
      </c>
      <c r="D2993" s="8" t="s">
        <v>2461</v>
      </c>
      <c r="E2993" s="39">
        <v>2874000</v>
      </c>
      <c r="F2993" s="40" t="s">
        <v>2315</v>
      </c>
    </row>
    <row r="2994" spans="2:6">
      <c r="B2994" s="8">
        <v>2991</v>
      </c>
      <c r="C2994" s="8" t="s">
        <v>678</v>
      </c>
      <c r="D2994" s="8" t="s">
        <v>345</v>
      </c>
      <c r="E2994" s="39">
        <v>265000</v>
      </c>
      <c r="F2994" s="40" t="s">
        <v>2315</v>
      </c>
    </row>
    <row r="2995" spans="2:6">
      <c r="B2995" s="8">
        <v>2992</v>
      </c>
      <c r="C2995" s="8" t="s">
        <v>678</v>
      </c>
      <c r="D2995" s="8" t="s">
        <v>2462</v>
      </c>
      <c r="E2995" s="39">
        <v>199000</v>
      </c>
      <c r="F2995" s="40" t="s">
        <v>2315</v>
      </c>
    </row>
    <row r="2996" spans="2:6">
      <c r="B2996" s="8">
        <v>2993</v>
      </c>
      <c r="C2996" s="8" t="s">
        <v>682</v>
      </c>
      <c r="D2996" s="8" t="s">
        <v>2463</v>
      </c>
      <c r="E2996" s="39">
        <v>91000</v>
      </c>
      <c r="F2996" s="40" t="s">
        <v>2315</v>
      </c>
    </row>
    <row r="2997" spans="2:6">
      <c r="B2997" s="8">
        <v>2994</v>
      </c>
      <c r="C2997" s="8" t="s">
        <v>682</v>
      </c>
      <c r="D2997" s="8" t="s">
        <v>2464</v>
      </c>
      <c r="E2997" s="39">
        <v>110000</v>
      </c>
      <c r="F2997" s="40" t="s">
        <v>2315</v>
      </c>
    </row>
    <row r="2998" spans="2:6">
      <c r="B2998" s="8">
        <v>2995</v>
      </c>
      <c r="C2998" s="8" t="s">
        <v>685</v>
      </c>
      <c r="D2998" s="8" t="s">
        <v>198</v>
      </c>
      <c r="E2998" s="39">
        <v>444000</v>
      </c>
      <c r="F2998" s="40" t="s">
        <v>2315</v>
      </c>
    </row>
    <row r="2999" spans="2:6">
      <c r="B2999" s="8">
        <v>2996</v>
      </c>
      <c r="C2999" s="8" t="s">
        <v>687</v>
      </c>
      <c r="D2999" s="8" t="s">
        <v>198</v>
      </c>
      <c r="E2999" s="39">
        <v>284000</v>
      </c>
      <c r="F2999" s="40" t="s">
        <v>2315</v>
      </c>
    </row>
    <row r="3000" spans="2:6">
      <c r="B3000" s="8">
        <v>2997</v>
      </c>
      <c r="C3000" s="8" t="s">
        <v>687</v>
      </c>
      <c r="D3000" s="8" t="s">
        <v>2465</v>
      </c>
      <c r="E3000" s="39">
        <v>999000</v>
      </c>
      <c r="F3000" s="40" t="s">
        <v>2315</v>
      </c>
    </row>
    <row r="3001" spans="2:6">
      <c r="B3001" s="8">
        <v>2998</v>
      </c>
      <c r="C3001" s="8" t="s">
        <v>694</v>
      </c>
      <c r="D3001" s="8" t="s">
        <v>2466</v>
      </c>
      <c r="E3001" s="39">
        <v>76000</v>
      </c>
      <c r="F3001" s="40" t="s">
        <v>2315</v>
      </c>
    </row>
    <row r="3002" spans="2:6">
      <c r="B3002" s="8">
        <v>2999</v>
      </c>
      <c r="C3002" s="8" t="s">
        <v>694</v>
      </c>
      <c r="D3002" s="8" t="s">
        <v>317</v>
      </c>
      <c r="E3002" s="39">
        <v>298000</v>
      </c>
      <c r="F3002" s="40" t="s">
        <v>2315</v>
      </c>
    </row>
    <row r="3003" spans="2:6">
      <c r="B3003" s="8">
        <v>3000</v>
      </c>
      <c r="C3003" s="8" t="s">
        <v>1334</v>
      </c>
      <c r="D3003" s="8" t="s">
        <v>2467</v>
      </c>
      <c r="E3003" s="39">
        <v>780000</v>
      </c>
      <c r="F3003" s="40" t="s">
        <v>2315</v>
      </c>
    </row>
    <row r="3004" spans="2:6">
      <c r="B3004" s="8">
        <v>3001</v>
      </c>
      <c r="C3004" s="8" t="s">
        <v>695</v>
      </c>
      <c r="D3004" s="8" t="s">
        <v>2468</v>
      </c>
      <c r="E3004" s="39">
        <v>177000</v>
      </c>
      <c r="F3004" s="40" t="s">
        <v>2315</v>
      </c>
    </row>
    <row r="3005" spans="2:6">
      <c r="B3005" s="8">
        <v>3002</v>
      </c>
      <c r="C3005" s="8" t="s">
        <v>695</v>
      </c>
      <c r="D3005" s="8" t="s">
        <v>1645</v>
      </c>
      <c r="E3005" s="39">
        <v>61000</v>
      </c>
      <c r="F3005" s="40" t="s">
        <v>2315</v>
      </c>
    </row>
    <row r="3006" spans="2:6">
      <c r="B3006" s="8">
        <v>3003</v>
      </c>
      <c r="C3006" s="8" t="s">
        <v>2469</v>
      </c>
      <c r="D3006" s="8" t="s">
        <v>1127</v>
      </c>
      <c r="E3006" s="39">
        <v>55000</v>
      </c>
      <c r="F3006" s="40" t="s">
        <v>2315</v>
      </c>
    </row>
    <row r="3007" spans="2:6">
      <c r="B3007" s="8">
        <v>3004</v>
      </c>
      <c r="C3007" s="8" t="s">
        <v>2469</v>
      </c>
      <c r="D3007" s="8" t="s">
        <v>317</v>
      </c>
      <c r="E3007" s="39">
        <v>348000</v>
      </c>
      <c r="F3007" s="40" t="s">
        <v>2315</v>
      </c>
    </row>
    <row r="3008" spans="2:6">
      <c r="B3008" s="8">
        <v>3005</v>
      </c>
      <c r="C3008" s="8" t="s">
        <v>2469</v>
      </c>
      <c r="D3008" s="8" t="s">
        <v>1232</v>
      </c>
      <c r="E3008" s="39">
        <v>828000</v>
      </c>
      <c r="F3008" s="40" t="s">
        <v>2315</v>
      </c>
    </row>
    <row r="3009" spans="2:6">
      <c r="B3009" s="8">
        <v>3006</v>
      </c>
      <c r="C3009" s="8" t="s">
        <v>697</v>
      </c>
      <c r="D3009" s="8" t="s">
        <v>2470</v>
      </c>
      <c r="E3009" s="39">
        <v>407000</v>
      </c>
      <c r="F3009" s="40" t="s">
        <v>2315</v>
      </c>
    </row>
    <row r="3010" spans="2:6">
      <c r="B3010" s="8">
        <v>3007</v>
      </c>
      <c r="C3010" s="8" t="s">
        <v>698</v>
      </c>
      <c r="D3010" s="8" t="s">
        <v>1347</v>
      </c>
      <c r="E3010" s="39">
        <v>68000</v>
      </c>
      <c r="F3010" s="40" t="s">
        <v>2315</v>
      </c>
    </row>
    <row r="3011" spans="2:6">
      <c r="B3011" s="8">
        <v>3008</v>
      </c>
      <c r="C3011" s="8" t="s">
        <v>700</v>
      </c>
      <c r="D3011" s="8" t="s">
        <v>1295</v>
      </c>
      <c r="E3011" s="39">
        <v>154000</v>
      </c>
      <c r="F3011" s="40" t="s">
        <v>2315</v>
      </c>
    </row>
    <row r="3012" spans="2:6">
      <c r="B3012" s="8">
        <v>3009</v>
      </c>
      <c r="C3012" s="8" t="s">
        <v>1346</v>
      </c>
      <c r="D3012" s="8" t="s">
        <v>371</v>
      </c>
      <c r="E3012" s="39">
        <v>61000</v>
      </c>
      <c r="F3012" s="40" t="s">
        <v>2315</v>
      </c>
    </row>
    <row r="3013" spans="2:6">
      <c r="B3013" s="8">
        <v>3010</v>
      </c>
      <c r="C3013" s="8" t="s">
        <v>1348</v>
      </c>
      <c r="D3013" s="8" t="s">
        <v>317</v>
      </c>
      <c r="E3013" s="39">
        <v>259000</v>
      </c>
      <c r="F3013" s="40" t="s">
        <v>2315</v>
      </c>
    </row>
    <row r="3014" spans="2:6">
      <c r="B3014" s="8">
        <v>3011</v>
      </c>
      <c r="C3014" s="8" t="s">
        <v>1348</v>
      </c>
      <c r="D3014" s="8" t="s">
        <v>198</v>
      </c>
      <c r="E3014" s="39">
        <v>455000</v>
      </c>
      <c r="F3014" s="40" t="s">
        <v>2315</v>
      </c>
    </row>
    <row r="3015" spans="2:6">
      <c r="B3015" s="8">
        <v>3012</v>
      </c>
      <c r="C3015" s="8" t="s">
        <v>707</v>
      </c>
      <c r="D3015" s="8" t="s">
        <v>217</v>
      </c>
      <c r="E3015" s="39">
        <v>918000</v>
      </c>
      <c r="F3015" s="40" t="s">
        <v>2315</v>
      </c>
    </row>
    <row r="3016" spans="2:6">
      <c r="B3016" s="8">
        <v>3013</v>
      </c>
      <c r="C3016" s="8" t="s">
        <v>707</v>
      </c>
      <c r="D3016" s="8" t="s">
        <v>236</v>
      </c>
      <c r="E3016" s="39">
        <v>131000</v>
      </c>
      <c r="F3016" s="40" t="s">
        <v>2315</v>
      </c>
    </row>
    <row r="3017" spans="2:6">
      <c r="B3017" s="8">
        <v>3014</v>
      </c>
      <c r="C3017" s="8" t="s">
        <v>1353</v>
      </c>
      <c r="D3017" s="8" t="s">
        <v>453</v>
      </c>
      <c r="E3017" s="39">
        <v>72000</v>
      </c>
      <c r="F3017" s="40" t="s">
        <v>2315</v>
      </c>
    </row>
    <row r="3018" spans="2:6">
      <c r="B3018" s="8">
        <v>3015</v>
      </c>
      <c r="C3018" s="8" t="s">
        <v>712</v>
      </c>
      <c r="D3018" s="8" t="s">
        <v>640</v>
      </c>
      <c r="E3018" s="39">
        <v>236000</v>
      </c>
      <c r="F3018" s="40" t="s">
        <v>2315</v>
      </c>
    </row>
    <row r="3019" spans="2:6">
      <c r="B3019" s="8">
        <v>3016</v>
      </c>
      <c r="C3019" s="8" t="s">
        <v>712</v>
      </c>
      <c r="D3019" s="8" t="s">
        <v>345</v>
      </c>
      <c r="E3019" s="39">
        <v>1314000</v>
      </c>
      <c r="F3019" s="40" t="s">
        <v>2315</v>
      </c>
    </row>
    <row r="3020" spans="2:6">
      <c r="B3020" s="8">
        <v>3017</v>
      </c>
      <c r="C3020" s="8" t="s">
        <v>1354</v>
      </c>
      <c r="D3020" s="8" t="s">
        <v>339</v>
      </c>
      <c r="E3020" s="39">
        <v>192000</v>
      </c>
      <c r="F3020" s="40" t="s">
        <v>2315</v>
      </c>
    </row>
    <row r="3021" spans="2:6">
      <c r="B3021" s="8">
        <v>3018</v>
      </c>
      <c r="C3021" s="8" t="s">
        <v>718</v>
      </c>
      <c r="D3021" s="8" t="s">
        <v>2471</v>
      </c>
      <c r="E3021" s="39">
        <v>103000</v>
      </c>
      <c r="F3021" s="40" t="s">
        <v>2315</v>
      </c>
    </row>
    <row r="3022" spans="2:6">
      <c r="B3022" s="8">
        <v>3019</v>
      </c>
      <c r="C3022" s="8" t="s">
        <v>718</v>
      </c>
      <c r="D3022" s="8" t="s">
        <v>2472</v>
      </c>
      <c r="E3022" s="39">
        <v>189000</v>
      </c>
      <c r="F3022" s="40" t="s">
        <v>2315</v>
      </c>
    </row>
    <row r="3023" spans="2:6">
      <c r="B3023" s="8">
        <v>3020</v>
      </c>
      <c r="C3023" s="8" t="s">
        <v>2473</v>
      </c>
      <c r="D3023" s="8" t="s">
        <v>317</v>
      </c>
      <c r="E3023" s="39">
        <v>103000</v>
      </c>
      <c r="F3023" s="40" t="s">
        <v>2315</v>
      </c>
    </row>
    <row r="3024" spans="2:6">
      <c r="B3024" s="8">
        <v>3021</v>
      </c>
      <c r="C3024" s="8" t="s">
        <v>722</v>
      </c>
      <c r="D3024" s="8" t="s">
        <v>2321</v>
      </c>
      <c r="E3024" s="39">
        <v>84000</v>
      </c>
      <c r="F3024" s="40" t="s">
        <v>2315</v>
      </c>
    </row>
    <row r="3025" spans="2:6">
      <c r="B3025" s="8">
        <v>3022</v>
      </c>
      <c r="C3025" s="8" t="s">
        <v>1364</v>
      </c>
      <c r="D3025" s="8" t="s">
        <v>2474</v>
      </c>
      <c r="E3025" s="39">
        <v>492000</v>
      </c>
      <c r="F3025" s="40" t="s">
        <v>2315</v>
      </c>
    </row>
    <row r="3026" spans="2:6">
      <c r="B3026" s="8">
        <v>3023</v>
      </c>
      <c r="C3026" s="8" t="s">
        <v>726</v>
      </c>
      <c r="D3026" s="8" t="s">
        <v>339</v>
      </c>
      <c r="E3026" s="39">
        <v>161000</v>
      </c>
      <c r="F3026" s="40" t="s">
        <v>2315</v>
      </c>
    </row>
    <row r="3027" spans="2:6">
      <c r="B3027" s="8">
        <v>3024</v>
      </c>
      <c r="C3027" s="8" t="s">
        <v>730</v>
      </c>
      <c r="D3027" s="8" t="s">
        <v>2475</v>
      </c>
      <c r="E3027" s="39">
        <v>972000</v>
      </c>
      <c r="F3027" s="40" t="s">
        <v>2315</v>
      </c>
    </row>
    <row r="3028" spans="2:6">
      <c r="B3028" s="8">
        <v>3025</v>
      </c>
      <c r="C3028" s="8" t="s">
        <v>733</v>
      </c>
      <c r="D3028" s="8" t="s">
        <v>648</v>
      </c>
      <c r="E3028" s="39">
        <v>208000</v>
      </c>
      <c r="F3028" s="40" t="s">
        <v>2315</v>
      </c>
    </row>
    <row r="3029" spans="2:6">
      <c r="B3029" s="8">
        <v>3026</v>
      </c>
      <c r="C3029" s="8" t="s">
        <v>739</v>
      </c>
      <c r="D3029" s="8" t="s">
        <v>2476</v>
      </c>
      <c r="E3029" s="39">
        <v>229000</v>
      </c>
      <c r="F3029" s="40" t="s">
        <v>2315</v>
      </c>
    </row>
    <row r="3030" spans="2:6">
      <c r="B3030" s="8">
        <v>3027</v>
      </c>
      <c r="C3030" s="8" t="s">
        <v>739</v>
      </c>
      <c r="D3030" s="8" t="s">
        <v>345</v>
      </c>
      <c r="E3030" s="39">
        <v>570000</v>
      </c>
      <c r="F3030" s="40" t="s">
        <v>2315</v>
      </c>
    </row>
    <row r="3031" spans="2:6">
      <c r="B3031" s="8">
        <v>3028</v>
      </c>
      <c r="C3031" s="8" t="s">
        <v>1745</v>
      </c>
      <c r="D3031" s="8" t="s">
        <v>1418</v>
      </c>
      <c r="E3031" s="39">
        <v>515000</v>
      </c>
      <c r="F3031" s="40" t="s">
        <v>2315</v>
      </c>
    </row>
    <row r="3032" spans="2:6">
      <c r="B3032" s="8">
        <v>3029</v>
      </c>
      <c r="C3032" s="8" t="s">
        <v>746</v>
      </c>
      <c r="D3032" s="8" t="s">
        <v>838</v>
      </c>
      <c r="E3032" s="39">
        <v>91000</v>
      </c>
      <c r="F3032" s="40" t="s">
        <v>2315</v>
      </c>
    </row>
    <row r="3033" spans="2:6">
      <c r="B3033" s="8">
        <v>3030</v>
      </c>
      <c r="C3033" s="8" t="s">
        <v>754</v>
      </c>
      <c r="D3033" s="8" t="s">
        <v>1406</v>
      </c>
      <c r="E3033" s="39">
        <v>577000</v>
      </c>
      <c r="F3033" s="40" t="s">
        <v>2315</v>
      </c>
    </row>
    <row r="3034" spans="2:6">
      <c r="B3034" s="8">
        <v>3031</v>
      </c>
      <c r="C3034" s="8" t="s">
        <v>756</v>
      </c>
      <c r="D3034" s="8" t="s">
        <v>804</v>
      </c>
      <c r="E3034" s="39">
        <v>2261000</v>
      </c>
      <c r="F3034" s="40" t="s">
        <v>2315</v>
      </c>
    </row>
    <row r="3035" spans="2:6">
      <c r="B3035" s="8">
        <v>3032</v>
      </c>
      <c r="C3035" s="8" t="s">
        <v>1375</v>
      </c>
      <c r="D3035" s="8" t="s">
        <v>305</v>
      </c>
      <c r="E3035" s="39">
        <v>256000</v>
      </c>
      <c r="F3035" s="40" t="s">
        <v>2315</v>
      </c>
    </row>
    <row r="3036" spans="2:6">
      <c r="B3036" s="8">
        <v>3033</v>
      </c>
      <c r="C3036" s="8" t="s">
        <v>1375</v>
      </c>
      <c r="D3036" s="8" t="s">
        <v>1985</v>
      </c>
      <c r="E3036" s="39">
        <v>872000</v>
      </c>
      <c r="F3036" s="40" t="s">
        <v>2315</v>
      </c>
    </row>
    <row r="3037" spans="2:6">
      <c r="B3037" s="8">
        <v>3034</v>
      </c>
      <c r="C3037" s="8" t="s">
        <v>1375</v>
      </c>
      <c r="D3037" s="8" t="s">
        <v>2477</v>
      </c>
      <c r="E3037" s="39">
        <v>53000</v>
      </c>
      <c r="F3037" s="40" t="s">
        <v>2315</v>
      </c>
    </row>
    <row r="3038" spans="2:6">
      <c r="B3038" s="8">
        <v>3035</v>
      </c>
      <c r="C3038" s="8" t="s">
        <v>1375</v>
      </c>
      <c r="D3038" s="8" t="s">
        <v>196</v>
      </c>
      <c r="E3038" s="39">
        <v>210000</v>
      </c>
      <c r="F3038" s="40" t="s">
        <v>2315</v>
      </c>
    </row>
    <row r="3039" spans="2:6">
      <c r="B3039" s="8">
        <v>3036</v>
      </c>
      <c r="C3039" s="8" t="s">
        <v>762</v>
      </c>
      <c r="D3039" s="8" t="s">
        <v>2443</v>
      </c>
      <c r="E3039" s="39">
        <v>243000</v>
      </c>
      <c r="F3039" s="40" t="s">
        <v>2315</v>
      </c>
    </row>
    <row r="3040" spans="2:6">
      <c r="B3040" s="8">
        <v>3037</v>
      </c>
      <c r="C3040" s="8" t="s">
        <v>1751</v>
      </c>
      <c r="D3040" s="8" t="s">
        <v>1437</v>
      </c>
      <c r="E3040" s="39">
        <v>436000</v>
      </c>
      <c r="F3040" s="40" t="s">
        <v>2315</v>
      </c>
    </row>
    <row r="3041" spans="2:6">
      <c r="B3041" s="8">
        <v>3038</v>
      </c>
      <c r="C3041" s="8" t="s">
        <v>763</v>
      </c>
      <c r="D3041" s="8" t="s">
        <v>2478</v>
      </c>
      <c r="E3041" s="39">
        <v>395000</v>
      </c>
      <c r="F3041" s="40" t="s">
        <v>2315</v>
      </c>
    </row>
    <row r="3042" spans="2:6">
      <c r="B3042" s="8">
        <v>3039</v>
      </c>
      <c r="C3042" s="8" t="s">
        <v>763</v>
      </c>
      <c r="D3042" s="8" t="s">
        <v>2479</v>
      </c>
      <c r="E3042" s="39">
        <v>790000</v>
      </c>
      <c r="F3042" s="40" t="s">
        <v>2315</v>
      </c>
    </row>
    <row r="3043" spans="2:6">
      <c r="B3043" s="8">
        <v>3040</v>
      </c>
      <c r="C3043" s="8" t="s">
        <v>763</v>
      </c>
      <c r="D3043" s="8" t="s">
        <v>2480</v>
      </c>
      <c r="E3043" s="39">
        <v>351000</v>
      </c>
      <c r="F3043" s="40" t="s">
        <v>2315</v>
      </c>
    </row>
    <row r="3044" spans="2:6">
      <c r="B3044" s="8">
        <v>3041</v>
      </c>
      <c r="C3044" s="8" t="s">
        <v>768</v>
      </c>
      <c r="D3044" s="8" t="s">
        <v>317</v>
      </c>
      <c r="E3044" s="39">
        <v>111000</v>
      </c>
      <c r="F3044" s="40" t="s">
        <v>2315</v>
      </c>
    </row>
    <row r="3045" spans="2:6">
      <c r="B3045" s="8">
        <v>3042</v>
      </c>
      <c r="C3045" s="8" t="s">
        <v>771</v>
      </c>
      <c r="D3045" s="8" t="s">
        <v>2481</v>
      </c>
      <c r="E3045" s="39">
        <v>84000</v>
      </c>
      <c r="F3045" s="40" t="s">
        <v>2315</v>
      </c>
    </row>
    <row r="3046" spans="2:6">
      <c r="B3046" s="8">
        <v>3043</v>
      </c>
      <c r="C3046" s="8" t="s">
        <v>1382</v>
      </c>
      <c r="D3046" s="8" t="s">
        <v>2482</v>
      </c>
      <c r="E3046" s="39">
        <v>609000</v>
      </c>
      <c r="F3046" s="40" t="s">
        <v>2315</v>
      </c>
    </row>
    <row r="3047" spans="2:6">
      <c r="B3047" s="8">
        <v>3044</v>
      </c>
      <c r="C3047" s="8" t="s">
        <v>1759</v>
      </c>
      <c r="D3047" s="8" t="s">
        <v>2483</v>
      </c>
      <c r="E3047" s="39">
        <v>1352000</v>
      </c>
      <c r="F3047" s="40" t="s">
        <v>2315</v>
      </c>
    </row>
    <row r="3048" spans="2:6">
      <c r="B3048" s="8">
        <v>3045</v>
      </c>
      <c r="C3048" s="8" t="s">
        <v>2138</v>
      </c>
      <c r="D3048" s="8" t="s">
        <v>2484</v>
      </c>
      <c r="E3048" s="39">
        <v>88000</v>
      </c>
      <c r="F3048" s="40" t="s">
        <v>2315</v>
      </c>
    </row>
    <row r="3049" spans="2:6">
      <c r="B3049" s="8">
        <v>3046</v>
      </c>
      <c r="C3049" s="8" t="s">
        <v>2138</v>
      </c>
      <c r="D3049" s="8" t="s">
        <v>2485</v>
      </c>
      <c r="E3049" s="39">
        <v>164000</v>
      </c>
      <c r="F3049" s="40" t="s">
        <v>2315</v>
      </c>
    </row>
    <row r="3050" spans="2:6">
      <c r="B3050" s="8">
        <v>3047</v>
      </c>
      <c r="C3050" s="8" t="s">
        <v>781</v>
      </c>
      <c r="D3050" s="8" t="s">
        <v>2486</v>
      </c>
      <c r="E3050" s="39">
        <v>1163000</v>
      </c>
      <c r="F3050" s="40" t="s">
        <v>2315</v>
      </c>
    </row>
    <row r="3051" spans="2:6">
      <c r="B3051" s="8">
        <v>3048</v>
      </c>
      <c r="C3051" s="8" t="s">
        <v>1392</v>
      </c>
      <c r="D3051" s="8" t="s">
        <v>339</v>
      </c>
      <c r="E3051" s="39">
        <v>111000</v>
      </c>
      <c r="F3051" s="40" t="s">
        <v>2315</v>
      </c>
    </row>
    <row r="3052" spans="2:6">
      <c r="B3052" s="8">
        <v>3049</v>
      </c>
      <c r="C3052" s="8" t="s">
        <v>1392</v>
      </c>
      <c r="D3052" s="8" t="s">
        <v>2487</v>
      </c>
      <c r="E3052" s="39">
        <v>154000</v>
      </c>
      <c r="F3052" s="40" t="s">
        <v>2315</v>
      </c>
    </row>
    <row r="3053" spans="2:6">
      <c r="B3053" s="8">
        <v>3050</v>
      </c>
      <c r="C3053" s="8" t="s">
        <v>1394</v>
      </c>
      <c r="D3053" s="8" t="s">
        <v>198</v>
      </c>
      <c r="E3053" s="39">
        <v>663000</v>
      </c>
      <c r="F3053" s="40" t="s">
        <v>2315</v>
      </c>
    </row>
    <row r="3054" spans="2:6">
      <c r="B3054" s="8">
        <v>3051</v>
      </c>
      <c r="C3054" s="8" t="s">
        <v>1395</v>
      </c>
      <c r="D3054" s="8" t="s">
        <v>1367</v>
      </c>
      <c r="E3054" s="39">
        <v>123000</v>
      </c>
      <c r="F3054" s="40" t="s">
        <v>2315</v>
      </c>
    </row>
    <row r="3055" spans="2:6">
      <c r="B3055" s="8">
        <v>3052</v>
      </c>
      <c r="C3055" s="8" t="s">
        <v>2488</v>
      </c>
      <c r="D3055" s="8" t="s">
        <v>317</v>
      </c>
      <c r="E3055" s="39">
        <v>185000</v>
      </c>
      <c r="F3055" s="40" t="s">
        <v>2315</v>
      </c>
    </row>
    <row r="3056" spans="2:6">
      <c r="B3056" s="8">
        <v>3053</v>
      </c>
      <c r="C3056" s="8" t="s">
        <v>786</v>
      </c>
      <c r="D3056" s="8" t="s">
        <v>932</v>
      </c>
      <c r="E3056" s="39">
        <v>228000</v>
      </c>
      <c r="F3056" s="40" t="s">
        <v>2315</v>
      </c>
    </row>
    <row r="3057" spans="2:6">
      <c r="B3057" s="8">
        <v>3054</v>
      </c>
      <c r="C3057" s="8" t="s">
        <v>793</v>
      </c>
      <c r="D3057" s="8" t="s">
        <v>199</v>
      </c>
      <c r="E3057" s="39">
        <v>293000</v>
      </c>
      <c r="F3057" s="40" t="s">
        <v>2315</v>
      </c>
    </row>
    <row r="3058" spans="2:6">
      <c r="B3058" s="8">
        <v>3055</v>
      </c>
      <c r="C3058" s="8" t="s">
        <v>793</v>
      </c>
      <c r="D3058" s="8" t="s">
        <v>2489</v>
      </c>
      <c r="E3058" s="39">
        <v>53000</v>
      </c>
      <c r="F3058" s="40" t="s">
        <v>2315</v>
      </c>
    </row>
    <row r="3059" spans="2:6">
      <c r="B3059" s="8">
        <v>3056</v>
      </c>
      <c r="C3059" s="8" t="s">
        <v>793</v>
      </c>
      <c r="D3059" s="8" t="s">
        <v>345</v>
      </c>
      <c r="E3059" s="39">
        <v>2509000</v>
      </c>
      <c r="F3059" s="40" t="s">
        <v>2315</v>
      </c>
    </row>
    <row r="3060" spans="2:6">
      <c r="B3060" s="8">
        <v>3057</v>
      </c>
      <c r="C3060" s="8" t="s">
        <v>1771</v>
      </c>
      <c r="D3060" s="8" t="s">
        <v>211</v>
      </c>
      <c r="E3060" s="39">
        <v>611000</v>
      </c>
      <c r="F3060" s="40" t="s">
        <v>2315</v>
      </c>
    </row>
    <row r="3061" spans="2:6">
      <c r="B3061" s="8">
        <v>3058</v>
      </c>
      <c r="C3061" s="8" t="s">
        <v>796</v>
      </c>
      <c r="D3061" s="8" t="s">
        <v>2490</v>
      </c>
      <c r="E3061" s="39">
        <v>142000</v>
      </c>
      <c r="F3061" s="40" t="s">
        <v>2315</v>
      </c>
    </row>
    <row r="3062" spans="2:6">
      <c r="B3062" s="8">
        <v>3059</v>
      </c>
      <c r="C3062" s="8" t="s">
        <v>1401</v>
      </c>
      <c r="D3062" s="8" t="s">
        <v>327</v>
      </c>
      <c r="E3062" s="39">
        <v>1491000</v>
      </c>
      <c r="F3062" s="40" t="s">
        <v>2315</v>
      </c>
    </row>
    <row r="3063" spans="2:6">
      <c r="B3063" s="8">
        <v>3060</v>
      </c>
      <c r="C3063" s="8" t="s">
        <v>803</v>
      </c>
      <c r="D3063" s="8" t="s">
        <v>345</v>
      </c>
      <c r="E3063" s="39">
        <v>138000</v>
      </c>
      <c r="F3063" s="40" t="s">
        <v>2315</v>
      </c>
    </row>
    <row r="3064" spans="2:6">
      <c r="B3064" s="8">
        <v>3061</v>
      </c>
      <c r="C3064" s="8" t="s">
        <v>810</v>
      </c>
      <c r="D3064" s="8" t="s">
        <v>2491</v>
      </c>
      <c r="E3064" s="39">
        <v>111000</v>
      </c>
      <c r="F3064" s="40" t="s">
        <v>2315</v>
      </c>
    </row>
    <row r="3065" spans="2:6">
      <c r="B3065" s="8">
        <v>3062</v>
      </c>
      <c r="C3065" s="8" t="s">
        <v>810</v>
      </c>
      <c r="D3065" s="8" t="s">
        <v>2492</v>
      </c>
      <c r="E3065" s="39">
        <v>143000</v>
      </c>
      <c r="F3065" s="40" t="s">
        <v>2315</v>
      </c>
    </row>
    <row r="3066" spans="2:6">
      <c r="B3066" s="8">
        <v>3063</v>
      </c>
      <c r="C3066" s="8" t="s">
        <v>810</v>
      </c>
      <c r="D3066" s="8" t="s">
        <v>904</v>
      </c>
      <c r="E3066" s="39">
        <v>102000</v>
      </c>
      <c r="F3066" s="40" t="s">
        <v>2315</v>
      </c>
    </row>
    <row r="3067" spans="2:6">
      <c r="B3067" s="8">
        <v>3064</v>
      </c>
      <c r="C3067" s="8" t="s">
        <v>812</v>
      </c>
      <c r="D3067" s="8" t="s">
        <v>198</v>
      </c>
      <c r="E3067" s="39">
        <v>318000</v>
      </c>
      <c r="F3067" s="40" t="s">
        <v>2315</v>
      </c>
    </row>
    <row r="3068" spans="2:6">
      <c r="B3068" s="8">
        <v>3065</v>
      </c>
      <c r="C3068" s="8" t="s">
        <v>812</v>
      </c>
      <c r="D3068" s="8" t="s">
        <v>1601</v>
      </c>
      <c r="E3068" s="39">
        <v>75000</v>
      </c>
      <c r="F3068" s="40" t="s">
        <v>2315</v>
      </c>
    </row>
    <row r="3069" spans="2:6">
      <c r="B3069" s="8">
        <v>3066</v>
      </c>
      <c r="C3069" s="8" t="s">
        <v>815</v>
      </c>
      <c r="D3069" s="8" t="s">
        <v>317</v>
      </c>
      <c r="E3069" s="39">
        <v>111000</v>
      </c>
      <c r="F3069" s="40" t="s">
        <v>2315</v>
      </c>
    </row>
    <row r="3070" spans="2:6">
      <c r="B3070" s="8">
        <v>3067</v>
      </c>
      <c r="C3070" s="8" t="s">
        <v>817</v>
      </c>
      <c r="D3070" s="8" t="s">
        <v>198</v>
      </c>
      <c r="E3070" s="39">
        <v>273000</v>
      </c>
      <c r="F3070" s="40" t="s">
        <v>2315</v>
      </c>
    </row>
    <row r="3071" spans="2:6">
      <c r="B3071" s="8">
        <v>3068</v>
      </c>
      <c r="C3071" s="8" t="s">
        <v>1414</v>
      </c>
      <c r="D3071" s="8" t="s">
        <v>2493</v>
      </c>
      <c r="E3071" s="39">
        <v>92000</v>
      </c>
      <c r="F3071" s="40" t="s">
        <v>2315</v>
      </c>
    </row>
    <row r="3072" spans="2:6">
      <c r="B3072" s="8">
        <v>3069</v>
      </c>
      <c r="C3072" s="8" t="s">
        <v>827</v>
      </c>
      <c r="D3072" s="8" t="s">
        <v>2494</v>
      </c>
      <c r="E3072" s="39">
        <v>302000</v>
      </c>
      <c r="F3072" s="40" t="s">
        <v>2315</v>
      </c>
    </row>
    <row r="3073" spans="2:6">
      <c r="B3073" s="8">
        <v>3070</v>
      </c>
      <c r="C3073" s="8" t="s">
        <v>827</v>
      </c>
      <c r="D3073" s="8" t="s">
        <v>2495</v>
      </c>
      <c r="E3073" s="39">
        <v>69000</v>
      </c>
      <c r="F3073" s="40" t="s">
        <v>2315</v>
      </c>
    </row>
    <row r="3074" spans="2:6">
      <c r="B3074" s="8">
        <v>3071</v>
      </c>
      <c r="C3074" s="8" t="s">
        <v>831</v>
      </c>
      <c r="D3074" s="8" t="s">
        <v>2034</v>
      </c>
      <c r="E3074" s="39">
        <v>583000</v>
      </c>
      <c r="F3074" s="40" t="s">
        <v>2315</v>
      </c>
    </row>
    <row r="3075" spans="2:6">
      <c r="B3075" s="8">
        <v>3072</v>
      </c>
      <c r="C3075" s="8" t="s">
        <v>1419</v>
      </c>
      <c r="D3075" s="8" t="s">
        <v>2496</v>
      </c>
      <c r="E3075" s="39">
        <v>53000</v>
      </c>
      <c r="F3075" s="40" t="s">
        <v>2315</v>
      </c>
    </row>
    <row r="3076" spans="2:6">
      <c r="B3076" s="8">
        <v>3073</v>
      </c>
      <c r="C3076" s="8" t="s">
        <v>1419</v>
      </c>
      <c r="D3076" s="8" t="s">
        <v>2497</v>
      </c>
      <c r="E3076" s="39">
        <v>201000</v>
      </c>
      <c r="F3076" s="40" t="s">
        <v>2315</v>
      </c>
    </row>
    <row r="3077" spans="2:6">
      <c r="B3077" s="8">
        <v>3074</v>
      </c>
      <c r="C3077" s="8" t="s">
        <v>1419</v>
      </c>
      <c r="D3077" s="8" t="s">
        <v>2498</v>
      </c>
      <c r="E3077" s="39">
        <v>726000</v>
      </c>
      <c r="F3077" s="40" t="s">
        <v>2315</v>
      </c>
    </row>
    <row r="3078" spans="2:6">
      <c r="B3078" s="8">
        <v>3075</v>
      </c>
      <c r="C3078" s="8" t="s">
        <v>833</v>
      </c>
      <c r="D3078" s="8" t="s">
        <v>1484</v>
      </c>
      <c r="E3078" s="39">
        <v>364000</v>
      </c>
      <c r="F3078" s="40" t="s">
        <v>2315</v>
      </c>
    </row>
    <row r="3079" spans="2:6">
      <c r="B3079" s="8">
        <v>3076</v>
      </c>
      <c r="C3079" s="8" t="s">
        <v>833</v>
      </c>
      <c r="D3079" s="8" t="s">
        <v>345</v>
      </c>
      <c r="E3079" s="39">
        <v>553000</v>
      </c>
      <c r="F3079" s="40" t="s">
        <v>2315</v>
      </c>
    </row>
    <row r="3080" spans="2:6">
      <c r="B3080" s="8">
        <v>3077</v>
      </c>
      <c r="C3080" s="8" t="s">
        <v>1425</v>
      </c>
      <c r="D3080" s="8" t="s">
        <v>1010</v>
      </c>
      <c r="E3080" s="39">
        <v>90000</v>
      </c>
      <c r="F3080" s="40" t="s">
        <v>2315</v>
      </c>
    </row>
    <row r="3081" spans="2:6">
      <c r="B3081" s="8">
        <v>3078</v>
      </c>
      <c r="C3081" s="8" t="s">
        <v>835</v>
      </c>
      <c r="D3081" s="8" t="s">
        <v>1272</v>
      </c>
      <c r="E3081" s="39">
        <v>1450000</v>
      </c>
      <c r="F3081" s="40" t="s">
        <v>2315</v>
      </c>
    </row>
    <row r="3082" spans="2:6">
      <c r="B3082" s="8">
        <v>3079</v>
      </c>
      <c r="C3082" s="8" t="s">
        <v>1428</v>
      </c>
      <c r="D3082" s="8" t="s">
        <v>1842</v>
      </c>
      <c r="E3082" s="39">
        <v>190000</v>
      </c>
      <c r="F3082" s="40" t="s">
        <v>2315</v>
      </c>
    </row>
    <row r="3083" spans="2:6">
      <c r="B3083" s="8">
        <v>3080</v>
      </c>
      <c r="C3083" s="8" t="s">
        <v>1428</v>
      </c>
      <c r="D3083" s="8" t="s">
        <v>198</v>
      </c>
      <c r="E3083" s="39">
        <v>487000</v>
      </c>
      <c r="F3083" s="40" t="s">
        <v>2315</v>
      </c>
    </row>
    <row r="3084" spans="2:6">
      <c r="B3084" s="8">
        <v>3081</v>
      </c>
      <c r="C3084" s="8" t="s">
        <v>837</v>
      </c>
      <c r="D3084" s="8" t="s">
        <v>317</v>
      </c>
      <c r="E3084" s="39">
        <v>478000</v>
      </c>
      <c r="F3084" s="40" t="s">
        <v>2315</v>
      </c>
    </row>
    <row r="3085" spans="2:6">
      <c r="B3085" s="8">
        <v>3082</v>
      </c>
      <c r="C3085" s="8" t="s">
        <v>839</v>
      </c>
      <c r="D3085" s="8" t="s">
        <v>699</v>
      </c>
      <c r="E3085" s="39">
        <v>84000</v>
      </c>
      <c r="F3085" s="40" t="s">
        <v>2315</v>
      </c>
    </row>
    <row r="3086" spans="2:6">
      <c r="B3086" s="8">
        <v>3083</v>
      </c>
      <c r="C3086" s="8" t="s">
        <v>1429</v>
      </c>
      <c r="D3086" s="8" t="s">
        <v>319</v>
      </c>
      <c r="E3086" s="39">
        <v>136000</v>
      </c>
      <c r="F3086" s="40" t="s">
        <v>2315</v>
      </c>
    </row>
    <row r="3087" spans="2:6">
      <c r="B3087" s="8">
        <v>3084</v>
      </c>
      <c r="C3087" s="8" t="s">
        <v>1429</v>
      </c>
      <c r="D3087" s="8" t="s">
        <v>2499</v>
      </c>
      <c r="E3087" s="39">
        <v>90000</v>
      </c>
      <c r="F3087" s="40" t="s">
        <v>2315</v>
      </c>
    </row>
    <row r="3088" spans="2:6">
      <c r="B3088" s="8">
        <v>3085</v>
      </c>
      <c r="C3088" s="8" t="s">
        <v>1429</v>
      </c>
      <c r="D3088" s="8" t="s">
        <v>699</v>
      </c>
      <c r="E3088" s="39">
        <v>84000</v>
      </c>
      <c r="F3088" s="40" t="s">
        <v>2315</v>
      </c>
    </row>
    <row r="3089" spans="2:6">
      <c r="B3089" s="8">
        <v>3086</v>
      </c>
      <c r="C3089" s="8" t="s">
        <v>1429</v>
      </c>
      <c r="D3089" s="8" t="s">
        <v>2500</v>
      </c>
      <c r="E3089" s="39">
        <v>640000</v>
      </c>
      <c r="F3089" s="40" t="s">
        <v>2315</v>
      </c>
    </row>
    <row r="3090" spans="2:6">
      <c r="B3090" s="8">
        <v>3087</v>
      </c>
      <c r="C3090" s="8" t="s">
        <v>842</v>
      </c>
      <c r="D3090" s="8" t="s">
        <v>345</v>
      </c>
      <c r="E3090" s="39">
        <v>1106000</v>
      </c>
      <c r="F3090" s="40" t="s">
        <v>2315</v>
      </c>
    </row>
    <row r="3091" spans="2:6">
      <c r="B3091" s="8">
        <v>3088</v>
      </c>
      <c r="C3091" s="8" t="s">
        <v>845</v>
      </c>
      <c r="D3091" s="8" t="s">
        <v>2423</v>
      </c>
      <c r="E3091" s="39">
        <v>220000</v>
      </c>
      <c r="F3091" s="40" t="s">
        <v>2315</v>
      </c>
    </row>
    <row r="3092" spans="2:6">
      <c r="B3092" s="8">
        <v>3089</v>
      </c>
      <c r="C3092" s="8" t="s">
        <v>845</v>
      </c>
      <c r="D3092" s="8" t="s">
        <v>317</v>
      </c>
      <c r="E3092" s="39">
        <v>460000</v>
      </c>
      <c r="F3092" s="40" t="s">
        <v>2315</v>
      </c>
    </row>
    <row r="3093" spans="2:6">
      <c r="B3093" s="8">
        <v>3090</v>
      </c>
      <c r="C3093" s="8" t="s">
        <v>845</v>
      </c>
      <c r="D3093" s="8" t="s">
        <v>198</v>
      </c>
      <c r="E3093" s="39">
        <v>196000</v>
      </c>
      <c r="F3093" s="40" t="s">
        <v>2315</v>
      </c>
    </row>
    <row r="3094" spans="2:6">
      <c r="B3094" s="8">
        <v>3091</v>
      </c>
      <c r="C3094" s="8" t="s">
        <v>846</v>
      </c>
      <c r="D3094" s="8" t="s">
        <v>2501</v>
      </c>
      <c r="E3094" s="39">
        <v>400000</v>
      </c>
      <c r="F3094" s="40" t="s">
        <v>2315</v>
      </c>
    </row>
    <row r="3095" spans="2:6">
      <c r="B3095" s="8">
        <v>3092</v>
      </c>
      <c r="C3095" s="8" t="s">
        <v>1794</v>
      </c>
      <c r="D3095" s="8" t="s">
        <v>339</v>
      </c>
      <c r="E3095" s="39">
        <v>93000</v>
      </c>
      <c r="F3095" s="40" t="s">
        <v>2315</v>
      </c>
    </row>
    <row r="3096" spans="2:6">
      <c r="B3096" s="8">
        <v>3093</v>
      </c>
      <c r="C3096" s="8" t="s">
        <v>856</v>
      </c>
      <c r="D3096" s="8" t="s">
        <v>426</v>
      </c>
      <c r="E3096" s="39">
        <v>183000</v>
      </c>
      <c r="F3096" s="40" t="s">
        <v>2315</v>
      </c>
    </row>
    <row r="3097" spans="2:6">
      <c r="B3097" s="8">
        <v>3094</v>
      </c>
      <c r="C3097" s="8" t="s">
        <v>860</v>
      </c>
      <c r="D3097" s="8" t="s">
        <v>198</v>
      </c>
      <c r="E3097" s="39">
        <v>754000</v>
      </c>
      <c r="F3097" s="40" t="s">
        <v>2315</v>
      </c>
    </row>
    <row r="3098" spans="2:6">
      <c r="B3098" s="8">
        <v>3095</v>
      </c>
      <c r="C3098" s="8" t="s">
        <v>2502</v>
      </c>
      <c r="D3098" s="8" t="s">
        <v>2503</v>
      </c>
      <c r="E3098" s="39">
        <v>84000</v>
      </c>
      <c r="F3098" s="40" t="s">
        <v>2315</v>
      </c>
    </row>
    <row r="3099" spans="2:6">
      <c r="B3099" s="8">
        <v>3096</v>
      </c>
      <c r="C3099" s="8" t="s">
        <v>2502</v>
      </c>
      <c r="D3099" s="8" t="s">
        <v>317</v>
      </c>
      <c r="E3099" s="39">
        <v>192000</v>
      </c>
      <c r="F3099" s="40" t="s">
        <v>2315</v>
      </c>
    </row>
    <row r="3100" spans="2:6">
      <c r="B3100" s="8">
        <v>3097</v>
      </c>
      <c r="C3100" s="8" t="s">
        <v>2504</v>
      </c>
      <c r="D3100" s="8" t="s">
        <v>2505</v>
      </c>
      <c r="E3100" s="39">
        <v>99000</v>
      </c>
      <c r="F3100" s="40" t="s">
        <v>2315</v>
      </c>
    </row>
    <row r="3101" spans="2:6">
      <c r="B3101" s="8">
        <v>3098</v>
      </c>
      <c r="C3101" s="8" t="s">
        <v>2163</v>
      </c>
      <c r="D3101" s="8" t="s">
        <v>699</v>
      </c>
      <c r="E3101" s="39">
        <v>197000</v>
      </c>
      <c r="F3101" s="40" t="s">
        <v>2315</v>
      </c>
    </row>
    <row r="3102" spans="2:6">
      <c r="B3102" s="8">
        <v>3099</v>
      </c>
      <c r="C3102" s="8" t="s">
        <v>863</v>
      </c>
      <c r="D3102" s="8" t="s">
        <v>217</v>
      </c>
      <c r="E3102" s="39">
        <v>444000</v>
      </c>
      <c r="F3102" s="40" t="s">
        <v>2315</v>
      </c>
    </row>
    <row r="3103" spans="2:6">
      <c r="B3103" s="8">
        <v>3100</v>
      </c>
      <c r="C3103" s="8" t="s">
        <v>2506</v>
      </c>
      <c r="D3103" s="8" t="s">
        <v>317</v>
      </c>
      <c r="E3103" s="39">
        <v>403000</v>
      </c>
      <c r="F3103" s="40" t="s">
        <v>2315</v>
      </c>
    </row>
    <row r="3104" spans="2:6">
      <c r="B3104" s="8">
        <v>3101</v>
      </c>
      <c r="C3104" s="8" t="s">
        <v>868</v>
      </c>
      <c r="D3104" s="8" t="s">
        <v>2507</v>
      </c>
      <c r="E3104" s="39">
        <v>338000</v>
      </c>
      <c r="F3104" s="40" t="s">
        <v>2315</v>
      </c>
    </row>
    <row r="3105" spans="2:6">
      <c r="B3105" s="8">
        <v>3102</v>
      </c>
      <c r="C3105" s="8" t="s">
        <v>872</v>
      </c>
      <c r="D3105" s="8" t="s">
        <v>2508</v>
      </c>
      <c r="E3105" s="39">
        <v>219000</v>
      </c>
      <c r="F3105" s="40" t="s">
        <v>2315</v>
      </c>
    </row>
    <row r="3106" spans="2:6">
      <c r="B3106" s="8">
        <v>3103</v>
      </c>
      <c r="C3106" s="8" t="s">
        <v>872</v>
      </c>
      <c r="D3106" s="8" t="s">
        <v>199</v>
      </c>
      <c r="E3106" s="39">
        <v>53000</v>
      </c>
      <c r="F3106" s="40" t="s">
        <v>2315</v>
      </c>
    </row>
    <row r="3107" spans="2:6">
      <c r="B3107" s="8">
        <v>3104</v>
      </c>
      <c r="C3107" s="8" t="s">
        <v>873</v>
      </c>
      <c r="D3107" s="8" t="s">
        <v>2443</v>
      </c>
      <c r="E3107" s="39">
        <v>182000</v>
      </c>
      <c r="F3107" s="40" t="s">
        <v>2315</v>
      </c>
    </row>
    <row r="3108" spans="2:6">
      <c r="B3108" s="8">
        <v>3105</v>
      </c>
      <c r="C3108" s="8" t="s">
        <v>2164</v>
      </c>
      <c r="D3108" s="8" t="s">
        <v>2509</v>
      </c>
      <c r="E3108" s="39">
        <v>284000</v>
      </c>
      <c r="F3108" s="40" t="s">
        <v>2315</v>
      </c>
    </row>
    <row r="3109" spans="2:6">
      <c r="B3109" s="8">
        <v>3106</v>
      </c>
      <c r="C3109" s="8" t="s">
        <v>877</v>
      </c>
      <c r="D3109" s="8" t="s">
        <v>734</v>
      </c>
      <c r="E3109" s="39">
        <v>207000</v>
      </c>
      <c r="F3109" s="40" t="s">
        <v>2315</v>
      </c>
    </row>
    <row r="3110" spans="2:6">
      <c r="B3110" s="8">
        <v>3107</v>
      </c>
      <c r="C3110" s="8" t="s">
        <v>2166</v>
      </c>
      <c r="D3110" s="8" t="s">
        <v>2227</v>
      </c>
      <c r="E3110" s="39">
        <v>127000</v>
      </c>
      <c r="F3110" s="40" t="s">
        <v>2315</v>
      </c>
    </row>
    <row r="3111" spans="2:6">
      <c r="B3111" s="8">
        <v>3108</v>
      </c>
      <c r="C3111" s="8" t="s">
        <v>889</v>
      </c>
      <c r="D3111" s="8" t="s">
        <v>640</v>
      </c>
      <c r="E3111" s="39">
        <v>388000</v>
      </c>
      <c r="F3111" s="40" t="s">
        <v>2315</v>
      </c>
    </row>
    <row r="3112" spans="2:6">
      <c r="B3112" s="8">
        <v>3109</v>
      </c>
      <c r="C3112" s="8" t="s">
        <v>891</v>
      </c>
      <c r="D3112" s="8" t="s">
        <v>2510</v>
      </c>
      <c r="E3112" s="39">
        <v>1009000</v>
      </c>
      <c r="F3112" s="40" t="s">
        <v>2315</v>
      </c>
    </row>
    <row r="3113" spans="2:6">
      <c r="B3113" s="8">
        <v>3110</v>
      </c>
      <c r="C3113" s="8" t="s">
        <v>893</v>
      </c>
      <c r="D3113" s="8" t="s">
        <v>2511</v>
      </c>
      <c r="E3113" s="39">
        <v>139000</v>
      </c>
      <c r="F3113" s="40" t="s">
        <v>2315</v>
      </c>
    </row>
    <row r="3114" spans="2:6">
      <c r="B3114" s="8">
        <v>3111</v>
      </c>
      <c r="C3114" s="8" t="s">
        <v>895</v>
      </c>
      <c r="D3114" s="8" t="s">
        <v>2512</v>
      </c>
      <c r="E3114" s="39">
        <v>185000</v>
      </c>
      <c r="F3114" s="40" t="s">
        <v>2315</v>
      </c>
    </row>
    <row r="3115" spans="2:6">
      <c r="B3115" s="8">
        <v>3112</v>
      </c>
      <c r="C3115" s="8" t="s">
        <v>895</v>
      </c>
      <c r="D3115" s="8" t="s">
        <v>640</v>
      </c>
      <c r="E3115" s="39">
        <v>231000</v>
      </c>
      <c r="F3115" s="40" t="s">
        <v>2315</v>
      </c>
    </row>
    <row r="3116" spans="2:6">
      <c r="B3116" s="8">
        <v>3113</v>
      </c>
      <c r="C3116" s="8" t="s">
        <v>899</v>
      </c>
      <c r="D3116" s="8" t="s">
        <v>2513</v>
      </c>
      <c r="E3116" s="39">
        <v>370000</v>
      </c>
      <c r="F3116" s="40" t="s">
        <v>2315</v>
      </c>
    </row>
    <row r="3117" spans="2:6">
      <c r="B3117" s="8">
        <v>3114</v>
      </c>
      <c r="C3117" s="8" t="s">
        <v>2169</v>
      </c>
      <c r="D3117" s="8" t="s">
        <v>472</v>
      </c>
      <c r="E3117" s="39">
        <v>127000</v>
      </c>
      <c r="F3117" s="40" t="s">
        <v>2315</v>
      </c>
    </row>
    <row r="3118" spans="2:6">
      <c r="B3118" s="8">
        <v>3115</v>
      </c>
      <c r="C3118" s="8" t="s">
        <v>2169</v>
      </c>
      <c r="D3118" s="8" t="s">
        <v>2514</v>
      </c>
      <c r="E3118" s="39">
        <v>123000</v>
      </c>
      <c r="F3118" s="40" t="s">
        <v>2315</v>
      </c>
    </row>
    <row r="3119" spans="2:6">
      <c r="B3119" s="8">
        <v>3116</v>
      </c>
      <c r="C3119" s="8" t="s">
        <v>2515</v>
      </c>
      <c r="D3119" s="8" t="s">
        <v>317</v>
      </c>
      <c r="E3119" s="39">
        <v>120000</v>
      </c>
      <c r="F3119" s="40" t="s">
        <v>2315</v>
      </c>
    </row>
    <row r="3120" spans="2:6">
      <c r="B3120" s="8">
        <v>3117</v>
      </c>
      <c r="C3120" s="8" t="s">
        <v>1808</v>
      </c>
      <c r="D3120" s="8" t="s">
        <v>2516</v>
      </c>
      <c r="E3120" s="39">
        <v>488000</v>
      </c>
      <c r="F3120" s="40" t="s">
        <v>2315</v>
      </c>
    </row>
    <row r="3121" spans="2:6">
      <c r="B3121" s="8">
        <v>3118</v>
      </c>
      <c r="C3121" s="8" t="s">
        <v>908</v>
      </c>
      <c r="D3121" s="8" t="s">
        <v>2517</v>
      </c>
      <c r="E3121" s="39">
        <v>330000</v>
      </c>
      <c r="F3121" s="40" t="s">
        <v>2315</v>
      </c>
    </row>
    <row r="3122" spans="2:6">
      <c r="B3122" s="8">
        <v>3119</v>
      </c>
      <c r="C3122" s="8" t="s">
        <v>908</v>
      </c>
      <c r="D3122" s="8" t="s">
        <v>317</v>
      </c>
      <c r="E3122" s="39">
        <v>240000</v>
      </c>
      <c r="F3122" s="40" t="s">
        <v>2315</v>
      </c>
    </row>
    <row r="3123" spans="2:6">
      <c r="B3123" s="8">
        <v>3120</v>
      </c>
      <c r="C3123" s="8" t="s">
        <v>2518</v>
      </c>
      <c r="D3123" s="8" t="s">
        <v>2519</v>
      </c>
      <c r="E3123" s="39">
        <v>348000</v>
      </c>
      <c r="F3123" s="40" t="s">
        <v>2315</v>
      </c>
    </row>
    <row r="3124" spans="2:6">
      <c r="B3124" s="8">
        <v>3121</v>
      </c>
      <c r="C3124" s="8" t="s">
        <v>2518</v>
      </c>
      <c r="D3124" s="8" t="s">
        <v>2520</v>
      </c>
      <c r="E3124" s="39">
        <v>694000</v>
      </c>
      <c r="F3124" s="40" t="s">
        <v>2315</v>
      </c>
    </row>
    <row r="3125" spans="2:6">
      <c r="B3125" s="8">
        <v>3122</v>
      </c>
      <c r="C3125" s="8" t="s">
        <v>2518</v>
      </c>
      <c r="D3125" s="8" t="s">
        <v>2521</v>
      </c>
      <c r="E3125" s="39">
        <v>192000</v>
      </c>
      <c r="F3125" s="40" t="s">
        <v>2315</v>
      </c>
    </row>
    <row r="3126" spans="2:6">
      <c r="B3126" s="8">
        <v>3123</v>
      </c>
      <c r="C3126" s="8" t="s">
        <v>1446</v>
      </c>
      <c r="D3126" s="8" t="s">
        <v>648</v>
      </c>
      <c r="E3126" s="39">
        <v>232000</v>
      </c>
      <c r="F3126" s="40" t="s">
        <v>2315</v>
      </c>
    </row>
    <row r="3127" spans="2:6">
      <c r="B3127" s="8">
        <v>3124</v>
      </c>
      <c r="C3127" s="8" t="s">
        <v>1446</v>
      </c>
      <c r="D3127" s="8" t="s">
        <v>2522</v>
      </c>
      <c r="E3127" s="39">
        <v>135000</v>
      </c>
      <c r="F3127" s="40" t="s">
        <v>2315</v>
      </c>
    </row>
    <row r="3128" spans="2:6">
      <c r="B3128" s="8">
        <v>3125</v>
      </c>
      <c r="C3128" s="8" t="s">
        <v>1811</v>
      </c>
      <c r="D3128" s="8" t="s">
        <v>2410</v>
      </c>
      <c r="E3128" s="39">
        <v>169000</v>
      </c>
      <c r="F3128" s="40" t="s">
        <v>2315</v>
      </c>
    </row>
    <row r="3129" spans="2:6">
      <c r="B3129" s="8">
        <v>3126</v>
      </c>
      <c r="C3129" s="8" t="s">
        <v>910</v>
      </c>
      <c r="D3129" s="8" t="s">
        <v>2523</v>
      </c>
      <c r="E3129" s="39">
        <v>2397000</v>
      </c>
      <c r="F3129" s="40" t="s">
        <v>2315</v>
      </c>
    </row>
    <row r="3130" spans="2:6">
      <c r="B3130" s="8">
        <v>3127</v>
      </c>
      <c r="C3130" s="8" t="s">
        <v>910</v>
      </c>
      <c r="D3130" s="8" t="s">
        <v>2491</v>
      </c>
      <c r="E3130" s="39">
        <v>111000</v>
      </c>
      <c r="F3130" s="40" t="s">
        <v>2315</v>
      </c>
    </row>
    <row r="3131" spans="2:6">
      <c r="B3131" s="8">
        <v>3128</v>
      </c>
      <c r="C3131" s="8" t="s">
        <v>1814</v>
      </c>
      <c r="D3131" s="8" t="s">
        <v>199</v>
      </c>
      <c r="E3131" s="39">
        <v>53000</v>
      </c>
      <c r="F3131" s="40" t="s">
        <v>2315</v>
      </c>
    </row>
    <row r="3132" spans="2:6">
      <c r="B3132" s="8">
        <v>3129</v>
      </c>
      <c r="C3132" s="8" t="s">
        <v>1815</v>
      </c>
      <c r="D3132" s="8" t="s">
        <v>2524</v>
      </c>
      <c r="E3132" s="39">
        <v>95000</v>
      </c>
      <c r="F3132" s="40" t="s">
        <v>2315</v>
      </c>
    </row>
    <row r="3133" spans="2:6">
      <c r="B3133" s="8">
        <v>3130</v>
      </c>
      <c r="C3133" s="8" t="s">
        <v>1448</v>
      </c>
      <c r="D3133" s="8" t="s">
        <v>317</v>
      </c>
      <c r="E3133" s="39">
        <v>186000</v>
      </c>
      <c r="F3133" s="40" t="s">
        <v>2315</v>
      </c>
    </row>
    <row r="3134" spans="2:6">
      <c r="B3134" s="8">
        <v>3131</v>
      </c>
      <c r="C3134" s="8" t="s">
        <v>1448</v>
      </c>
      <c r="D3134" s="8" t="s">
        <v>769</v>
      </c>
      <c r="E3134" s="39">
        <v>116000</v>
      </c>
      <c r="F3134" s="40" t="s">
        <v>2315</v>
      </c>
    </row>
    <row r="3135" spans="2:6">
      <c r="B3135" s="8">
        <v>3132</v>
      </c>
      <c r="C3135" s="8" t="s">
        <v>1448</v>
      </c>
      <c r="D3135" s="8" t="s">
        <v>289</v>
      </c>
      <c r="E3135" s="39">
        <v>77000</v>
      </c>
      <c r="F3135" s="40" t="s">
        <v>2315</v>
      </c>
    </row>
    <row r="3136" spans="2:6">
      <c r="B3136" s="8">
        <v>3133</v>
      </c>
      <c r="C3136" s="8" t="s">
        <v>916</v>
      </c>
      <c r="D3136" s="8" t="s">
        <v>1961</v>
      </c>
      <c r="E3136" s="39">
        <v>271000</v>
      </c>
      <c r="F3136" s="40" t="s">
        <v>2315</v>
      </c>
    </row>
    <row r="3137" spans="2:6">
      <c r="B3137" s="8">
        <v>3134</v>
      </c>
      <c r="C3137" s="8" t="s">
        <v>916</v>
      </c>
      <c r="D3137" s="8" t="s">
        <v>398</v>
      </c>
      <c r="E3137" s="39">
        <v>141000</v>
      </c>
      <c r="F3137" s="40" t="s">
        <v>2315</v>
      </c>
    </row>
    <row r="3138" spans="2:6">
      <c r="B3138" s="8">
        <v>3135</v>
      </c>
      <c r="C3138" s="8" t="s">
        <v>916</v>
      </c>
      <c r="D3138" s="8" t="s">
        <v>2104</v>
      </c>
      <c r="E3138" s="39">
        <v>578000</v>
      </c>
      <c r="F3138" s="40" t="s">
        <v>2315</v>
      </c>
    </row>
    <row r="3139" spans="2:6">
      <c r="B3139" s="8">
        <v>3136</v>
      </c>
      <c r="C3139" s="8" t="s">
        <v>1451</v>
      </c>
      <c r="D3139" s="8" t="s">
        <v>2525</v>
      </c>
      <c r="E3139" s="39">
        <v>461000</v>
      </c>
      <c r="F3139" s="40" t="s">
        <v>2315</v>
      </c>
    </row>
    <row r="3140" spans="2:6">
      <c r="B3140" s="8">
        <v>3137</v>
      </c>
      <c r="C3140" s="8" t="s">
        <v>1451</v>
      </c>
      <c r="D3140" s="8" t="s">
        <v>838</v>
      </c>
      <c r="E3140" s="39">
        <v>211000</v>
      </c>
      <c r="F3140" s="40" t="s">
        <v>2315</v>
      </c>
    </row>
    <row r="3141" spans="2:6">
      <c r="B3141" s="8">
        <v>3138</v>
      </c>
      <c r="C3141" s="8" t="s">
        <v>2526</v>
      </c>
      <c r="D3141" s="8" t="s">
        <v>769</v>
      </c>
      <c r="E3141" s="39">
        <v>119000</v>
      </c>
      <c r="F3141" s="40" t="s">
        <v>2315</v>
      </c>
    </row>
    <row r="3142" spans="2:6">
      <c r="B3142" s="8">
        <v>3139</v>
      </c>
      <c r="C3142" s="8" t="s">
        <v>927</v>
      </c>
      <c r="D3142" s="8" t="s">
        <v>317</v>
      </c>
      <c r="E3142" s="39">
        <v>184000</v>
      </c>
      <c r="F3142" s="40" t="s">
        <v>2315</v>
      </c>
    </row>
    <row r="3143" spans="2:6">
      <c r="B3143" s="8">
        <v>3140</v>
      </c>
      <c r="C3143" s="8" t="s">
        <v>1824</v>
      </c>
      <c r="D3143" s="8" t="s">
        <v>345</v>
      </c>
      <c r="E3143" s="39">
        <v>739000</v>
      </c>
      <c r="F3143" s="40" t="s">
        <v>2315</v>
      </c>
    </row>
    <row r="3144" spans="2:6">
      <c r="B3144" s="8">
        <v>3141</v>
      </c>
      <c r="C3144" s="8" t="s">
        <v>1824</v>
      </c>
      <c r="D3144" s="8" t="s">
        <v>2527</v>
      </c>
      <c r="E3144" s="39">
        <v>443000</v>
      </c>
      <c r="F3144" s="40" t="s">
        <v>2315</v>
      </c>
    </row>
    <row r="3145" spans="2:6">
      <c r="B3145" s="8">
        <v>3142</v>
      </c>
      <c r="C3145" s="8" t="s">
        <v>933</v>
      </c>
      <c r="D3145" s="8" t="s">
        <v>1114</v>
      </c>
      <c r="E3145" s="39">
        <v>286000</v>
      </c>
      <c r="F3145" s="40" t="s">
        <v>2315</v>
      </c>
    </row>
    <row r="3146" spans="2:6">
      <c r="B3146" s="8">
        <v>3143</v>
      </c>
      <c r="C3146" s="8" t="s">
        <v>934</v>
      </c>
      <c r="D3146" s="8" t="s">
        <v>791</v>
      </c>
      <c r="E3146" s="39">
        <v>53000</v>
      </c>
      <c r="F3146" s="40" t="s">
        <v>2315</v>
      </c>
    </row>
    <row r="3147" spans="2:6">
      <c r="B3147" s="8">
        <v>3144</v>
      </c>
      <c r="C3147" s="8" t="s">
        <v>2528</v>
      </c>
      <c r="D3147" s="8" t="s">
        <v>317</v>
      </c>
      <c r="E3147" s="39">
        <v>215000</v>
      </c>
      <c r="F3147" s="40" t="s">
        <v>2315</v>
      </c>
    </row>
    <row r="3148" spans="2:6">
      <c r="B3148" s="8">
        <v>3145</v>
      </c>
      <c r="C3148" s="8" t="s">
        <v>1455</v>
      </c>
      <c r="D3148" s="8" t="s">
        <v>2529</v>
      </c>
      <c r="E3148" s="39">
        <v>53000</v>
      </c>
      <c r="F3148" s="40" t="s">
        <v>2315</v>
      </c>
    </row>
    <row r="3149" spans="2:6">
      <c r="B3149" s="8">
        <v>3146</v>
      </c>
      <c r="C3149" s="8" t="s">
        <v>1455</v>
      </c>
      <c r="D3149" s="8" t="s">
        <v>317</v>
      </c>
      <c r="E3149" s="39">
        <v>178000</v>
      </c>
      <c r="F3149" s="40" t="s">
        <v>2315</v>
      </c>
    </row>
    <row r="3150" spans="2:6">
      <c r="B3150" s="8">
        <v>3147</v>
      </c>
      <c r="C3150" s="8" t="s">
        <v>939</v>
      </c>
      <c r="D3150" s="8" t="s">
        <v>217</v>
      </c>
      <c r="E3150" s="39">
        <v>466000</v>
      </c>
      <c r="F3150" s="40" t="s">
        <v>2315</v>
      </c>
    </row>
    <row r="3151" spans="2:6">
      <c r="B3151" s="8">
        <v>3148</v>
      </c>
      <c r="C3151" s="8" t="s">
        <v>1459</v>
      </c>
      <c r="D3151" s="8" t="s">
        <v>819</v>
      </c>
      <c r="E3151" s="39">
        <v>85000</v>
      </c>
      <c r="F3151" s="40" t="s">
        <v>2315</v>
      </c>
    </row>
    <row r="3152" spans="2:6">
      <c r="B3152" s="8">
        <v>3149</v>
      </c>
      <c r="C3152" s="8" t="s">
        <v>2530</v>
      </c>
      <c r="D3152" s="8" t="s">
        <v>405</v>
      </c>
      <c r="E3152" s="39">
        <v>53000</v>
      </c>
      <c r="F3152" s="40" t="s">
        <v>2315</v>
      </c>
    </row>
    <row r="3153" spans="2:6">
      <c r="B3153" s="8">
        <v>3150</v>
      </c>
      <c r="C3153" s="8" t="s">
        <v>1834</v>
      </c>
      <c r="D3153" s="8" t="s">
        <v>2531</v>
      </c>
      <c r="E3153" s="39">
        <v>90000</v>
      </c>
      <c r="F3153" s="40" t="s">
        <v>2315</v>
      </c>
    </row>
    <row r="3154" spans="2:6">
      <c r="B3154" s="8">
        <v>3151</v>
      </c>
      <c r="C3154" s="8" t="s">
        <v>1468</v>
      </c>
      <c r="D3154" s="8" t="s">
        <v>2532</v>
      </c>
      <c r="E3154" s="39">
        <v>196000</v>
      </c>
      <c r="F3154" s="40" t="s">
        <v>2315</v>
      </c>
    </row>
    <row r="3155" spans="2:6">
      <c r="B3155" s="8">
        <v>3152</v>
      </c>
      <c r="C3155" s="8" t="s">
        <v>1468</v>
      </c>
      <c r="D3155" s="8" t="s">
        <v>2533</v>
      </c>
      <c r="E3155" s="39">
        <v>71000</v>
      </c>
      <c r="F3155" s="40" t="s">
        <v>2315</v>
      </c>
    </row>
    <row r="3156" spans="2:6">
      <c r="B3156" s="8">
        <v>3153</v>
      </c>
      <c r="C3156" s="8" t="s">
        <v>1468</v>
      </c>
      <c r="D3156" s="8" t="s">
        <v>2534</v>
      </c>
      <c r="E3156" s="39">
        <v>183000</v>
      </c>
      <c r="F3156" s="40" t="s">
        <v>2315</v>
      </c>
    </row>
    <row r="3157" spans="2:6">
      <c r="B3157" s="8">
        <v>3154</v>
      </c>
      <c r="C3157" s="8" t="s">
        <v>1468</v>
      </c>
      <c r="D3157" s="8" t="s">
        <v>2535</v>
      </c>
      <c r="E3157" s="39">
        <v>175000</v>
      </c>
      <c r="F3157" s="40" t="s">
        <v>2315</v>
      </c>
    </row>
    <row r="3158" spans="2:6">
      <c r="B3158" s="8">
        <v>3155</v>
      </c>
      <c r="C3158" s="8" t="s">
        <v>946</v>
      </c>
      <c r="D3158" s="8" t="s">
        <v>198</v>
      </c>
      <c r="E3158" s="39">
        <v>466000</v>
      </c>
      <c r="F3158" s="40" t="s">
        <v>2315</v>
      </c>
    </row>
    <row r="3159" spans="2:6">
      <c r="B3159" s="8">
        <v>3156</v>
      </c>
      <c r="C3159" s="8" t="s">
        <v>948</v>
      </c>
      <c r="D3159" s="8" t="s">
        <v>681</v>
      </c>
      <c r="E3159" s="39">
        <v>219000</v>
      </c>
      <c r="F3159" s="40" t="s">
        <v>2315</v>
      </c>
    </row>
    <row r="3160" spans="2:6">
      <c r="B3160" s="8">
        <v>3157</v>
      </c>
      <c r="C3160" s="8" t="s">
        <v>2536</v>
      </c>
      <c r="D3160" s="8" t="s">
        <v>2537</v>
      </c>
      <c r="E3160" s="39">
        <v>83000</v>
      </c>
      <c r="F3160" s="40" t="s">
        <v>2315</v>
      </c>
    </row>
    <row r="3161" spans="2:6">
      <c r="B3161" s="8">
        <v>3158</v>
      </c>
      <c r="C3161" s="8" t="s">
        <v>2536</v>
      </c>
      <c r="D3161" s="8" t="s">
        <v>838</v>
      </c>
      <c r="E3161" s="39">
        <v>99000</v>
      </c>
      <c r="F3161" s="40" t="s">
        <v>2315</v>
      </c>
    </row>
    <row r="3162" spans="2:6">
      <c r="B3162" s="8">
        <v>3159</v>
      </c>
      <c r="C3162" s="8" t="s">
        <v>2536</v>
      </c>
      <c r="D3162" s="8" t="s">
        <v>317</v>
      </c>
      <c r="E3162" s="39">
        <v>119000</v>
      </c>
      <c r="F3162" s="40" t="s">
        <v>2315</v>
      </c>
    </row>
    <row r="3163" spans="2:6">
      <c r="B3163" s="8">
        <v>3160</v>
      </c>
      <c r="C3163" s="8" t="s">
        <v>952</v>
      </c>
      <c r="D3163" s="8" t="s">
        <v>2538</v>
      </c>
      <c r="E3163" s="39">
        <v>633000</v>
      </c>
      <c r="F3163" s="40" t="s">
        <v>2315</v>
      </c>
    </row>
    <row r="3164" spans="2:6">
      <c r="B3164" s="8">
        <v>3161</v>
      </c>
      <c r="C3164" s="8" t="s">
        <v>2181</v>
      </c>
      <c r="D3164" s="8" t="s">
        <v>1238</v>
      </c>
      <c r="E3164" s="39">
        <v>871000</v>
      </c>
      <c r="F3164" s="40" t="s">
        <v>2315</v>
      </c>
    </row>
    <row r="3165" spans="2:6">
      <c r="B3165" s="8">
        <v>3162</v>
      </c>
      <c r="C3165" s="8" t="s">
        <v>955</v>
      </c>
      <c r="D3165" s="8" t="s">
        <v>2539</v>
      </c>
      <c r="E3165" s="39">
        <v>65000</v>
      </c>
      <c r="F3165" s="40" t="s">
        <v>2315</v>
      </c>
    </row>
    <row r="3166" spans="2:6">
      <c r="B3166" s="8">
        <v>3163</v>
      </c>
      <c r="C3166" s="8" t="s">
        <v>955</v>
      </c>
      <c r="D3166" s="8" t="s">
        <v>211</v>
      </c>
      <c r="E3166" s="39">
        <v>53000</v>
      </c>
      <c r="F3166" s="40" t="s">
        <v>2315</v>
      </c>
    </row>
    <row r="3167" spans="2:6">
      <c r="B3167" s="8">
        <v>3164</v>
      </c>
      <c r="C3167" s="8" t="s">
        <v>1840</v>
      </c>
      <c r="D3167" s="8" t="s">
        <v>2540</v>
      </c>
      <c r="E3167" s="39">
        <v>1091000</v>
      </c>
      <c r="F3167" s="40" t="s">
        <v>2315</v>
      </c>
    </row>
    <row r="3168" spans="2:6">
      <c r="B3168" s="8">
        <v>3165</v>
      </c>
      <c r="C3168" s="8" t="s">
        <v>1840</v>
      </c>
      <c r="D3168" s="8" t="s">
        <v>2230</v>
      </c>
      <c r="E3168" s="39">
        <v>62000</v>
      </c>
      <c r="F3168" s="40" t="s">
        <v>2315</v>
      </c>
    </row>
    <row r="3169" spans="2:6">
      <c r="B3169" s="8">
        <v>3166</v>
      </c>
      <c r="C3169" s="8" t="s">
        <v>1840</v>
      </c>
      <c r="D3169" s="8" t="s">
        <v>2079</v>
      </c>
      <c r="E3169" s="39">
        <v>80000</v>
      </c>
      <c r="F3169" s="40" t="s">
        <v>2315</v>
      </c>
    </row>
    <row r="3170" spans="2:6">
      <c r="B3170" s="8">
        <v>3167</v>
      </c>
      <c r="C3170" s="8" t="s">
        <v>1479</v>
      </c>
      <c r="D3170" s="8" t="s">
        <v>2541</v>
      </c>
      <c r="E3170" s="39">
        <v>659000</v>
      </c>
      <c r="F3170" s="40" t="s">
        <v>2315</v>
      </c>
    </row>
    <row r="3171" spans="2:6">
      <c r="B3171" s="8">
        <v>3168</v>
      </c>
      <c r="C3171" s="8" t="s">
        <v>1479</v>
      </c>
      <c r="D3171" s="8" t="s">
        <v>2491</v>
      </c>
      <c r="E3171" s="39">
        <v>111000</v>
      </c>
      <c r="F3171" s="40" t="s">
        <v>2315</v>
      </c>
    </row>
    <row r="3172" spans="2:6">
      <c r="B3172" s="8">
        <v>3169</v>
      </c>
      <c r="C3172" s="8" t="s">
        <v>964</v>
      </c>
      <c r="D3172" s="8" t="s">
        <v>319</v>
      </c>
      <c r="E3172" s="39">
        <v>234000</v>
      </c>
      <c r="F3172" s="40" t="s">
        <v>2315</v>
      </c>
    </row>
    <row r="3173" spans="2:6">
      <c r="B3173" s="8">
        <v>3170</v>
      </c>
      <c r="C3173" s="8" t="s">
        <v>2542</v>
      </c>
      <c r="D3173" s="8" t="s">
        <v>2543</v>
      </c>
      <c r="E3173" s="39">
        <v>84000</v>
      </c>
      <c r="F3173" s="40" t="s">
        <v>2315</v>
      </c>
    </row>
    <row r="3174" spans="2:6">
      <c r="B3174" s="8">
        <v>3171</v>
      </c>
      <c r="C3174" s="8" t="s">
        <v>2542</v>
      </c>
      <c r="D3174" s="8" t="s">
        <v>641</v>
      </c>
      <c r="E3174" s="39">
        <v>116000</v>
      </c>
      <c r="F3174" s="40" t="s">
        <v>2315</v>
      </c>
    </row>
    <row r="3175" spans="2:6">
      <c r="B3175" s="8">
        <v>3172</v>
      </c>
      <c r="C3175" s="8" t="s">
        <v>965</v>
      </c>
      <c r="D3175" s="8" t="s">
        <v>256</v>
      </c>
      <c r="E3175" s="39">
        <v>98000</v>
      </c>
      <c r="F3175" s="40" t="s">
        <v>2315</v>
      </c>
    </row>
    <row r="3176" spans="2:6">
      <c r="B3176" s="8">
        <v>3173</v>
      </c>
      <c r="C3176" s="8" t="s">
        <v>965</v>
      </c>
      <c r="D3176" s="8" t="s">
        <v>2544</v>
      </c>
      <c r="E3176" s="39">
        <v>146000</v>
      </c>
      <c r="F3176" s="40" t="s">
        <v>2315</v>
      </c>
    </row>
    <row r="3177" spans="2:6">
      <c r="B3177" s="8">
        <v>3174</v>
      </c>
      <c r="C3177" s="8" t="s">
        <v>967</v>
      </c>
      <c r="D3177" s="8" t="s">
        <v>659</v>
      </c>
      <c r="E3177" s="39">
        <v>99000</v>
      </c>
      <c r="F3177" s="40" t="s">
        <v>2315</v>
      </c>
    </row>
    <row r="3178" spans="2:6">
      <c r="B3178" s="8">
        <v>3175</v>
      </c>
      <c r="C3178" s="8" t="s">
        <v>1843</v>
      </c>
      <c r="D3178" s="8" t="s">
        <v>640</v>
      </c>
      <c r="E3178" s="39">
        <v>364000</v>
      </c>
      <c r="F3178" s="40" t="s">
        <v>2315</v>
      </c>
    </row>
    <row r="3179" spans="2:6">
      <c r="B3179" s="8">
        <v>3176</v>
      </c>
      <c r="C3179" s="8" t="s">
        <v>2187</v>
      </c>
      <c r="D3179" s="8" t="s">
        <v>1287</v>
      </c>
      <c r="E3179" s="39">
        <v>1104000</v>
      </c>
      <c r="F3179" s="40" t="s">
        <v>2315</v>
      </c>
    </row>
    <row r="3180" spans="2:6">
      <c r="B3180" s="8">
        <v>3177</v>
      </c>
      <c r="C3180" s="8" t="s">
        <v>2187</v>
      </c>
      <c r="D3180" s="8" t="s">
        <v>2545</v>
      </c>
      <c r="E3180" s="39">
        <v>89000</v>
      </c>
      <c r="F3180" s="40" t="s">
        <v>2315</v>
      </c>
    </row>
    <row r="3181" spans="2:6">
      <c r="B3181" s="8">
        <v>3178</v>
      </c>
      <c r="C3181" s="8" t="s">
        <v>969</v>
      </c>
      <c r="D3181" s="8" t="s">
        <v>640</v>
      </c>
      <c r="E3181" s="39">
        <v>193000</v>
      </c>
      <c r="F3181" s="40" t="s">
        <v>2315</v>
      </c>
    </row>
    <row r="3182" spans="2:6">
      <c r="B3182" s="8">
        <v>3179</v>
      </c>
      <c r="C3182" s="8" t="s">
        <v>974</v>
      </c>
      <c r="D3182" s="8" t="s">
        <v>2546</v>
      </c>
      <c r="E3182" s="39">
        <v>900000</v>
      </c>
      <c r="F3182" s="40" t="s">
        <v>2315</v>
      </c>
    </row>
    <row r="3183" spans="2:6">
      <c r="B3183" s="8">
        <v>3180</v>
      </c>
      <c r="C3183" s="8" t="s">
        <v>1483</v>
      </c>
      <c r="D3183" s="8" t="s">
        <v>775</v>
      </c>
      <c r="E3183" s="39">
        <v>185000</v>
      </c>
      <c r="F3183" s="40" t="s">
        <v>2315</v>
      </c>
    </row>
    <row r="3184" spans="2:6">
      <c r="B3184" s="8">
        <v>3181</v>
      </c>
      <c r="C3184" s="8" t="s">
        <v>986</v>
      </c>
      <c r="D3184" s="8" t="s">
        <v>2491</v>
      </c>
      <c r="E3184" s="39">
        <v>111000</v>
      </c>
      <c r="F3184" s="40" t="s">
        <v>2315</v>
      </c>
    </row>
    <row r="3185" spans="2:6">
      <c r="B3185" s="8">
        <v>3182</v>
      </c>
      <c r="C3185" s="8" t="s">
        <v>989</v>
      </c>
      <c r="D3185" s="8" t="s">
        <v>2547</v>
      </c>
      <c r="E3185" s="39">
        <v>569000</v>
      </c>
      <c r="F3185" s="40" t="s">
        <v>2315</v>
      </c>
    </row>
    <row r="3186" spans="2:6">
      <c r="B3186" s="8">
        <v>3183</v>
      </c>
      <c r="C3186" s="8" t="s">
        <v>989</v>
      </c>
      <c r="D3186" s="8" t="s">
        <v>2548</v>
      </c>
      <c r="E3186" s="39">
        <v>166000</v>
      </c>
      <c r="F3186" s="40" t="s">
        <v>2315</v>
      </c>
    </row>
    <row r="3187" spans="2:6">
      <c r="B3187" s="8">
        <v>3184</v>
      </c>
      <c r="C3187" s="8" t="s">
        <v>2194</v>
      </c>
      <c r="D3187" s="8" t="s">
        <v>2549</v>
      </c>
      <c r="E3187" s="39">
        <v>621000</v>
      </c>
      <c r="F3187" s="40" t="s">
        <v>2315</v>
      </c>
    </row>
    <row r="3188" spans="2:6">
      <c r="B3188" s="8">
        <v>3185</v>
      </c>
      <c r="C3188" s="8" t="s">
        <v>996</v>
      </c>
      <c r="D3188" s="8" t="s">
        <v>775</v>
      </c>
      <c r="E3188" s="39">
        <v>298000</v>
      </c>
      <c r="F3188" s="40" t="s">
        <v>2315</v>
      </c>
    </row>
    <row r="3189" spans="2:6">
      <c r="B3189" s="8">
        <v>3186</v>
      </c>
      <c r="C3189" s="8" t="s">
        <v>998</v>
      </c>
      <c r="D3189" s="8" t="s">
        <v>2550</v>
      </c>
      <c r="E3189" s="39">
        <v>84000</v>
      </c>
      <c r="F3189" s="40" t="s">
        <v>2315</v>
      </c>
    </row>
    <row r="3190" spans="2:6">
      <c r="B3190" s="8">
        <v>3187</v>
      </c>
      <c r="C3190" s="8" t="s">
        <v>998</v>
      </c>
      <c r="D3190" s="8" t="s">
        <v>2175</v>
      </c>
      <c r="E3190" s="39">
        <v>135000</v>
      </c>
      <c r="F3190" s="40" t="s">
        <v>2315</v>
      </c>
    </row>
    <row r="3191" spans="2:6">
      <c r="B3191" s="8">
        <v>3188</v>
      </c>
      <c r="C3191" s="8" t="s">
        <v>2551</v>
      </c>
      <c r="D3191" s="8" t="s">
        <v>1984</v>
      </c>
      <c r="E3191" s="39">
        <v>158000</v>
      </c>
      <c r="F3191" s="40" t="s">
        <v>2315</v>
      </c>
    </row>
    <row r="3192" spans="2:6">
      <c r="B3192" s="8">
        <v>3189</v>
      </c>
      <c r="C3192" s="8" t="s">
        <v>1003</v>
      </c>
      <c r="D3192" s="8" t="s">
        <v>317</v>
      </c>
      <c r="E3192" s="39">
        <v>96000</v>
      </c>
      <c r="F3192" s="40" t="s">
        <v>2315</v>
      </c>
    </row>
    <row r="3193" spans="2:6">
      <c r="B3193" s="8">
        <v>3190</v>
      </c>
      <c r="C3193" s="8" t="s">
        <v>1007</v>
      </c>
      <c r="D3193" s="8" t="s">
        <v>648</v>
      </c>
      <c r="E3193" s="39">
        <v>84000</v>
      </c>
      <c r="F3193" s="40" t="s">
        <v>2315</v>
      </c>
    </row>
    <row r="3194" spans="2:6">
      <c r="B3194" s="8">
        <v>3191</v>
      </c>
      <c r="C3194" s="8" t="s">
        <v>1497</v>
      </c>
      <c r="D3194" s="8" t="s">
        <v>924</v>
      </c>
      <c r="E3194" s="39">
        <v>164000</v>
      </c>
      <c r="F3194" s="40" t="s">
        <v>2315</v>
      </c>
    </row>
    <row r="3195" spans="2:6">
      <c r="B3195" s="8">
        <v>3192</v>
      </c>
      <c r="C3195" s="8" t="s">
        <v>1017</v>
      </c>
      <c r="D3195" s="8" t="s">
        <v>2552</v>
      </c>
      <c r="E3195" s="39">
        <v>175000</v>
      </c>
      <c r="F3195" s="40" t="s">
        <v>2315</v>
      </c>
    </row>
    <row r="3196" spans="2:6">
      <c r="B3196" s="8">
        <v>3193</v>
      </c>
      <c r="C3196" s="8" t="s">
        <v>1500</v>
      </c>
      <c r="D3196" s="8" t="s">
        <v>317</v>
      </c>
      <c r="E3196" s="39">
        <v>193000</v>
      </c>
      <c r="F3196" s="40" t="s">
        <v>2315</v>
      </c>
    </row>
    <row r="3197" spans="2:6">
      <c r="B3197" s="8">
        <v>3194</v>
      </c>
      <c r="C3197" s="8" t="s">
        <v>1856</v>
      </c>
      <c r="D3197" s="8" t="s">
        <v>319</v>
      </c>
      <c r="E3197" s="39">
        <v>249000</v>
      </c>
      <c r="F3197" s="40" t="s">
        <v>2315</v>
      </c>
    </row>
    <row r="3198" spans="2:6">
      <c r="B3198" s="8">
        <v>3195</v>
      </c>
      <c r="C3198" s="8" t="s">
        <v>1856</v>
      </c>
      <c r="D3198" s="8" t="s">
        <v>2553</v>
      </c>
      <c r="E3198" s="39">
        <v>306000</v>
      </c>
      <c r="F3198" s="40" t="s">
        <v>2315</v>
      </c>
    </row>
    <row r="3199" spans="2:6">
      <c r="B3199" s="8">
        <v>3196</v>
      </c>
      <c r="C3199" s="8" t="s">
        <v>1856</v>
      </c>
      <c r="D3199" s="8" t="s">
        <v>2423</v>
      </c>
      <c r="E3199" s="39">
        <v>220000</v>
      </c>
      <c r="F3199" s="40" t="s">
        <v>2315</v>
      </c>
    </row>
    <row r="3200" spans="2:6">
      <c r="B3200" s="8">
        <v>3197</v>
      </c>
      <c r="C3200" s="8" t="s">
        <v>1019</v>
      </c>
      <c r="D3200" s="8" t="s">
        <v>2554</v>
      </c>
      <c r="E3200" s="39">
        <v>141000</v>
      </c>
      <c r="F3200" s="40" t="s">
        <v>2315</v>
      </c>
    </row>
    <row r="3201" spans="2:6">
      <c r="B3201" s="8">
        <v>3198</v>
      </c>
      <c r="C3201" s="8" t="s">
        <v>1029</v>
      </c>
      <c r="D3201" s="8" t="s">
        <v>2555</v>
      </c>
      <c r="E3201" s="39">
        <v>283000</v>
      </c>
      <c r="F3201" s="40" t="s">
        <v>2315</v>
      </c>
    </row>
    <row r="3202" spans="2:6">
      <c r="B3202" s="8">
        <v>3199</v>
      </c>
      <c r="C3202" s="8" t="s">
        <v>2556</v>
      </c>
      <c r="D3202" s="8" t="s">
        <v>317</v>
      </c>
      <c r="E3202" s="39">
        <v>168000</v>
      </c>
      <c r="F3202" s="40" t="s">
        <v>2315</v>
      </c>
    </row>
    <row r="3203" spans="2:6">
      <c r="B3203" s="8">
        <v>3200</v>
      </c>
      <c r="C3203" s="8" t="s">
        <v>1506</v>
      </c>
      <c r="D3203" s="8" t="s">
        <v>2557</v>
      </c>
      <c r="E3203" s="39">
        <v>880000</v>
      </c>
      <c r="F3203" s="40" t="s">
        <v>2315</v>
      </c>
    </row>
    <row r="3204" spans="2:6">
      <c r="B3204" s="8">
        <v>3201</v>
      </c>
      <c r="C3204" s="8" t="s">
        <v>2210</v>
      </c>
      <c r="D3204" s="8" t="s">
        <v>1088</v>
      </c>
      <c r="E3204" s="39">
        <v>210000</v>
      </c>
      <c r="F3204" s="40" t="s">
        <v>2315</v>
      </c>
    </row>
    <row r="3205" spans="2:6">
      <c r="B3205" s="8">
        <v>3202</v>
      </c>
      <c r="C3205" s="8" t="s">
        <v>1043</v>
      </c>
      <c r="D3205" s="8" t="s">
        <v>621</v>
      </c>
      <c r="E3205" s="39">
        <v>177000</v>
      </c>
      <c r="F3205" s="40" t="s">
        <v>2315</v>
      </c>
    </row>
    <row r="3206" spans="2:6">
      <c r="B3206" s="8">
        <v>3203</v>
      </c>
      <c r="C3206" s="8" t="s">
        <v>1043</v>
      </c>
      <c r="D3206" s="8" t="s">
        <v>838</v>
      </c>
      <c r="E3206" s="39">
        <v>99000</v>
      </c>
      <c r="F3206" s="40" t="s">
        <v>2315</v>
      </c>
    </row>
    <row r="3207" spans="2:6">
      <c r="B3207" s="8">
        <v>3204</v>
      </c>
      <c r="C3207" s="8" t="s">
        <v>1515</v>
      </c>
      <c r="D3207" s="8" t="s">
        <v>2558</v>
      </c>
      <c r="E3207" s="39">
        <v>115000</v>
      </c>
      <c r="F3207" s="40" t="s">
        <v>2315</v>
      </c>
    </row>
    <row r="3208" spans="2:6">
      <c r="B3208" s="8">
        <v>3205</v>
      </c>
      <c r="C3208" s="8" t="s">
        <v>1517</v>
      </c>
      <c r="D3208" s="8" t="s">
        <v>567</v>
      </c>
      <c r="E3208" s="39">
        <v>138000</v>
      </c>
      <c r="F3208" s="40" t="s">
        <v>2315</v>
      </c>
    </row>
    <row r="3209" spans="2:6">
      <c r="B3209" s="8">
        <v>3206</v>
      </c>
      <c r="C3209" s="8" t="s">
        <v>1046</v>
      </c>
      <c r="D3209" s="8" t="s">
        <v>688</v>
      </c>
      <c r="E3209" s="39">
        <v>758000</v>
      </c>
      <c r="F3209" s="40" t="s">
        <v>2315</v>
      </c>
    </row>
    <row r="3210" spans="2:6">
      <c r="B3210" s="8">
        <v>3207</v>
      </c>
      <c r="C3210" s="8" t="s">
        <v>1046</v>
      </c>
      <c r="D3210" s="8" t="s">
        <v>371</v>
      </c>
      <c r="E3210" s="39">
        <v>61000</v>
      </c>
      <c r="F3210" s="40" t="s">
        <v>2315</v>
      </c>
    </row>
    <row r="3211" spans="2:6">
      <c r="B3211" s="8">
        <v>3208</v>
      </c>
      <c r="C3211" s="8" t="s">
        <v>1870</v>
      </c>
      <c r="D3211" s="8" t="s">
        <v>405</v>
      </c>
      <c r="E3211" s="39">
        <v>121000</v>
      </c>
      <c r="F3211" s="40" t="s">
        <v>2315</v>
      </c>
    </row>
    <row r="3212" spans="2:6">
      <c r="B3212" s="8">
        <v>3209</v>
      </c>
      <c r="C3212" s="8" t="s">
        <v>1870</v>
      </c>
      <c r="D3212" s="8" t="s">
        <v>2559</v>
      </c>
      <c r="E3212" s="39">
        <v>226000</v>
      </c>
      <c r="F3212" s="40" t="s">
        <v>2315</v>
      </c>
    </row>
    <row r="3213" spans="2:6">
      <c r="B3213" s="8">
        <v>3210</v>
      </c>
      <c r="C3213" s="8" t="s">
        <v>2217</v>
      </c>
      <c r="D3213" s="8" t="s">
        <v>317</v>
      </c>
      <c r="E3213" s="39">
        <v>78000</v>
      </c>
      <c r="F3213" s="40" t="s">
        <v>2315</v>
      </c>
    </row>
    <row r="3214" spans="2:6">
      <c r="B3214" s="8">
        <v>3211</v>
      </c>
      <c r="C3214" s="8" t="s">
        <v>2217</v>
      </c>
      <c r="D3214" s="8" t="s">
        <v>2560</v>
      </c>
      <c r="E3214" s="39">
        <v>186000</v>
      </c>
      <c r="F3214" s="40" t="s">
        <v>2315</v>
      </c>
    </row>
    <row r="3215" spans="2:6">
      <c r="B3215" s="8">
        <v>3212</v>
      </c>
      <c r="C3215" s="8" t="s">
        <v>1871</v>
      </c>
      <c r="D3215" s="8" t="s">
        <v>2369</v>
      </c>
      <c r="E3215" s="39">
        <v>66000</v>
      </c>
      <c r="F3215" s="40" t="s">
        <v>2315</v>
      </c>
    </row>
    <row r="3216" spans="2:6">
      <c r="B3216" s="8">
        <v>3213</v>
      </c>
      <c r="C3216" s="8" t="s">
        <v>1523</v>
      </c>
      <c r="D3216" s="8" t="s">
        <v>2561</v>
      </c>
      <c r="E3216" s="39">
        <v>167000</v>
      </c>
      <c r="F3216" s="40" t="s">
        <v>2315</v>
      </c>
    </row>
    <row r="3217" spans="2:6">
      <c r="B3217" s="8">
        <v>3214</v>
      </c>
      <c r="C3217" s="8" t="s">
        <v>1523</v>
      </c>
      <c r="D3217" s="8" t="s">
        <v>2562</v>
      </c>
      <c r="E3217" s="39">
        <v>424000</v>
      </c>
      <c r="F3217" s="40" t="s">
        <v>2315</v>
      </c>
    </row>
    <row r="3218" spans="2:6">
      <c r="B3218" s="8">
        <v>3215</v>
      </c>
      <c r="C3218" s="8" t="s">
        <v>1875</v>
      </c>
      <c r="D3218" s="8" t="s">
        <v>2009</v>
      </c>
      <c r="E3218" s="39">
        <v>193000</v>
      </c>
      <c r="F3218" s="40" t="s">
        <v>2315</v>
      </c>
    </row>
    <row r="3219" spans="2:6">
      <c r="B3219" s="8">
        <v>3216</v>
      </c>
      <c r="C3219" s="8" t="s">
        <v>1049</v>
      </c>
      <c r="D3219" s="8" t="s">
        <v>319</v>
      </c>
      <c r="E3219" s="39">
        <v>185000</v>
      </c>
      <c r="F3219" s="40" t="s">
        <v>2315</v>
      </c>
    </row>
    <row r="3220" spans="2:6">
      <c r="B3220" s="8">
        <v>3217</v>
      </c>
      <c r="C3220" s="8" t="s">
        <v>1049</v>
      </c>
      <c r="D3220" s="8" t="s">
        <v>211</v>
      </c>
      <c r="E3220" s="39">
        <v>166000</v>
      </c>
      <c r="F3220" s="40" t="s">
        <v>2315</v>
      </c>
    </row>
    <row r="3221" spans="2:6">
      <c r="B3221" s="8">
        <v>3218</v>
      </c>
      <c r="C3221" s="8" t="s">
        <v>2563</v>
      </c>
      <c r="D3221" s="8" t="s">
        <v>199</v>
      </c>
      <c r="E3221" s="39">
        <v>53000</v>
      </c>
      <c r="F3221" s="40" t="s">
        <v>2315</v>
      </c>
    </row>
    <row r="3222" spans="2:6">
      <c r="B3222" s="8">
        <v>3219</v>
      </c>
      <c r="C3222" s="8" t="s">
        <v>2220</v>
      </c>
      <c r="D3222" s="8" t="s">
        <v>659</v>
      </c>
      <c r="E3222" s="39">
        <v>554000</v>
      </c>
      <c r="F3222" s="40" t="s">
        <v>2315</v>
      </c>
    </row>
    <row r="3223" spans="2:6">
      <c r="B3223" s="8">
        <v>3220</v>
      </c>
      <c r="C3223" s="8" t="s">
        <v>2564</v>
      </c>
      <c r="D3223" s="8" t="s">
        <v>994</v>
      </c>
      <c r="E3223" s="39">
        <v>166000</v>
      </c>
      <c r="F3223" s="40" t="s">
        <v>2315</v>
      </c>
    </row>
    <row r="3224" spans="2:6">
      <c r="B3224" s="8">
        <v>3221</v>
      </c>
      <c r="C3224" s="8" t="s">
        <v>1054</v>
      </c>
      <c r="D3224" s="8" t="s">
        <v>2539</v>
      </c>
      <c r="E3224" s="39">
        <v>84000</v>
      </c>
      <c r="F3224" s="40" t="s">
        <v>2315</v>
      </c>
    </row>
    <row r="3225" spans="2:6">
      <c r="B3225" s="8">
        <v>3222</v>
      </c>
      <c r="C3225" s="8" t="s">
        <v>1054</v>
      </c>
      <c r="D3225" s="8" t="s">
        <v>691</v>
      </c>
      <c r="E3225" s="39">
        <v>325000</v>
      </c>
      <c r="F3225" s="40" t="s">
        <v>2315</v>
      </c>
    </row>
    <row r="3226" spans="2:6">
      <c r="B3226" s="8">
        <v>3223</v>
      </c>
      <c r="C3226" s="8" t="s">
        <v>2565</v>
      </c>
      <c r="D3226" s="8" t="s">
        <v>2105</v>
      </c>
      <c r="E3226" s="39">
        <v>96000</v>
      </c>
      <c r="F3226" s="40" t="s">
        <v>2315</v>
      </c>
    </row>
    <row r="3227" spans="2:6">
      <c r="B3227" s="8">
        <v>3224</v>
      </c>
      <c r="C3227" s="8" t="s">
        <v>1530</v>
      </c>
      <c r="D3227" s="8" t="s">
        <v>247</v>
      </c>
      <c r="E3227" s="39">
        <v>53000</v>
      </c>
      <c r="F3227" s="40" t="s">
        <v>2315</v>
      </c>
    </row>
    <row r="3228" spans="2:6">
      <c r="B3228" s="8">
        <v>3225</v>
      </c>
      <c r="C3228" s="8" t="s">
        <v>1876</v>
      </c>
      <c r="D3228" s="8" t="s">
        <v>217</v>
      </c>
      <c r="E3228" s="39">
        <v>273000</v>
      </c>
      <c r="F3228" s="40" t="s">
        <v>2315</v>
      </c>
    </row>
    <row r="3229" spans="2:6">
      <c r="B3229" s="8">
        <v>3226</v>
      </c>
      <c r="C3229" s="8" t="s">
        <v>2566</v>
      </c>
      <c r="D3229" s="8" t="s">
        <v>876</v>
      </c>
      <c r="E3229" s="39">
        <v>112000</v>
      </c>
      <c r="F3229" s="40" t="s">
        <v>2315</v>
      </c>
    </row>
    <row r="3230" spans="2:6">
      <c r="B3230" s="8">
        <v>3227</v>
      </c>
      <c r="C3230" s="8" t="s">
        <v>1880</v>
      </c>
      <c r="D3230" s="8" t="s">
        <v>2443</v>
      </c>
      <c r="E3230" s="39">
        <v>242000</v>
      </c>
      <c r="F3230" s="40" t="s">
        <v>2315</v>
      </c>
    </row>
    <row r="3231" spans="2:6">
      <c r="B3231" s="8">
        <v>3228</v>
      </c>
      <c r="C3231" s="8" t="s">
        <v>2567</v>
      </c>
      <c r="D3231" s="8" t="s">
        <v>2568</v>
      </c>
      <c r="E3231" s="39">
        <v>111000</v>
      </c>
      <c r="F3231" s="40" t="s">
        <v>2315</v>
      </c>
    </row>
    <row r="3232" spans="2:6">
      <c r="B3232" s="8">
        <v>3229</v>
      </c>
      <c r="C3232" s="8" t="s">
        <v>2569</v>
      </c>
      <c r="D3232" s="8" t="s">
        <v>317</v>
      </c>
      <c r="E3232" s="39">
        <v>184000</v>
      </c>
      <c r="F3232" s="40" t="s">
        <v>2315</v>
      </c>
    </row>
    <row r="3233" spans="2:6">
      <c r="B3233" s="8">
        <v>3230</v>
      </c>
      <c r="C3233" s="8" t="s">
        <v>2570</v>
      </c>
      <c r="D3233" s="8" t="s">
        <v>291</v>
      </c>
      <c r="E3233" s="39">
        <v>274000</v>
      </c>
      <c r="F3233" s="40" t="s">
        <v>2315</v>
      </c>
    </row>
    <row r="3234" spans="2:6">
      <c r="B3234" s="8">
        <v>3231</v>
      </c>
      <c r="C3234" s="8" t="s">
        <v>2571</v>
      </c>
      <c r="D3234" s="8" t="s">
        <v>317</v>
      </c>
      <c r="E3234" s="39">
        <v>53000</v>
      </c>
      <c r="F3234" s="40" t="s">
        <v>2315</v>
      </c>
    </row>
    <row r="3235" spans="2:6">
      <c r="B3235" s="8">
        <v>3232</v>
      </c>
      <c r="C3235" s="8" t="s">
        <v>2572</v>
      </c>
      <c r="D3235" s="8" t="s">
        <v>2573</v>
      </c>
      <c r="E3235" s="39">
        <v>236000</v>
      </c>
      <c r="F3235" s="40" t="s">
        <v>2315</v>
      </c>
    </row>
    <row r="3236" spans="2:6">
      <c r="B3236" s="8">
        <v>3233</v>
      </c>
      <c r="C3236" s="8" t="s">
        <v>1066</v>
      </c>
      <c r="D3236" s="8" t="s">
        <v>2423</v>
      </c>
      <c r="E3236" s="39">
        <v>220000</v>
      </c>
      <c r="F3236" s="40" t="s">
        <v>2315</v>
      </c>
    </row>
    <row r="3237" spans="2:6">
      <c r="B3237" s="8">
        <v>3234</v>
      </c>
      <c r="C3237" s="8" t="s">
        <v>1066</v>
      </c>
      <c r="D3237" s="8" t="s">
        <v>688</v>
      </c>
      <c r="E3237" s="39">
        <v>999000</v>
      </c>
      <c r="F3237" s="40" t="s">
        <v>2315</v>
      </c>
    </row>
    <row r="3238" spans="2:6">
      <c r="B3238" s="8">
        <v>3235</v>
      </c>
      <c r="C3238" s="8" t="s">
        <v>1881</v>
      </c>
      <c r="D3238" s="8" t="s">
        <v>1645</v>
      </c>
      <c r="E3238" s="39">
        <v>695000</v>
      </c>
      <c r="F3238" s="40" t="s">
        <v>2315</v>
      </c>
    </row>
    <row r="3239" spans="2:6">
      <c r="B3239" s="8">
        <v>3236</v>
      </c>
      <c r="C3239" s="8" t="s">
        <v>2231</v>
      </c>
      <c r="D3239" s="8" t="s">
        <v>640</v>
      </c>
      <c r="E3239" s="39">
        <v>729000</v>
      </c>
      <c r="F3239" s="40" t="s">
        <v>2315</v>
      </c>
    </row>
    <row r="3240" spans="2:6">
      <c r="B3240" s="8">
        <v>3237</v>
      </c>
      <c r="C3240" s="8" t="s">
        <v>2231</v>
      </c>
      <c r="D3240" s="8" t="s">
        <v>217</v>
      </c>
      <c r="E3240" s="39">
        <v>1927000</v>
      </c>
      <c r="F3240" s="40" t="s">
        <v>2315</v>
      </c>
    </row>
    <row r="3241" spans="2:6">
      <c r="B3241" s="8">
        <v>3238</v>
      </c>
      <c r="C3241" s="8" t="s">
        <v>2574</v>
      </c>
      <c r="D3241" s="8" t="s">
        <v>2575</v>
      </c>
      <c r="E3241" s="39">
        <v>53000</v>
      </c>
      <c r="F3241" s="40" t="s">
        <v>2315</v>
      </c>
    </row>
    <row r="3242" spans="2:6">
      <c r="B3242" s="8">
        <v>3239</v>
      </c>
      <c r="C3242" s="8" t="s">
        <v>2576</v>
      </c>
      <c r="D3242" s="8" t="s">
        <v>398</v>
      </c>
      <c r="E3242" s="39">
        <v>133000</v>
      </c>
      <c r="F3242" s="40" t="s">
        <v>2315</v>
      </c>
    </row>
    <row r="3243" spans="2:6">
      <c r="B3243" s="8">
        <v>3240</v>
      </c>
      <c r="C3243" s="8" t="s">
        <v>2577</v>
      </c>
      <c r="D3243" s="8" t="s">
        <v>2578</v>
      </c>
      <c r="E3243" s="39">
        <v>209000</v>
      </c>
      <c r="F3243" s="40" t="s">
        <v>2315</v>
      </c>
    </row>
    <row r="3244" spans="2:6">
      <c r="B3244" s="8">
        <v>3241</v>
      </c>
      <c r="C3244" s="8" t="s">
        <v>1886</v>
      </c>
      <c r="D3244" s="8" t="s">
        <v>640</v>
      </c>
      <c r="E3244" s="39">
        <v>459000</v>
      </c>
      <c r="F3244" s="40" t="s">
        <v>2315</v>
      </c>
    </row>
    <row r="3245" spans="2:6">
      <c r="B3245" s="8">
        <v>3242</v>
      </c>
      <c r="C3245" s="8" t="s">
        <v>1887</v>
      </c>
      <c r="D3245" s="8" t="s">
        <v>640</v>
      </c>
      <c r="E3245" s="39">
        <v>220000</v>
      </c>
      <c r="F3245" s="40" t="s">
        <v>2315</v>
      </c>
    </row>
    <row r="3246" spans="2:6">
      <c r="B3246" s="8">
        <v>3243</v>
      </c>
      <c r="C3246" s="8" t="s">
        <v>2579</v>
      </c>
      <c r="D3246" s="8" t="s">
        <v>317</v>
      </c>
      <c r="E3246" s="39">
        <v>157000</v>
      </c>
      <c r="F3246" s="40" t="s">
        <v>2315</v>
      </c>
    </row>
    <row r="3247" spans="2:6">
      <c r="B3247" s="8">
        <v>3244</v>
      </c>
      <c r="C3247" s="8" t="s">
        <v>2236</v>
      </c>
      <c r="D3247" s="8" t="s">
        <v>1086</v>
      </c>
      <c r="E3247" s="39">
        <v>123000</v>
      </c>
      <c r="F3247" s="40" t="s">
        <v>2315</v>
      </c>
    </row>
    <row r="3248" spans="2:6">
      <c r="B3248" s="8">
        <v>3245</v>
      </c>
      <c r="C3248" s="8" t="s">
        <v>1080</v>
      </c>
      <c r="D3248" s="8" t="s">
        <v>317</v>
      </c>
      <c r="E3248" s="39">
        <v>127000</v>
      </c>
      <c r="F3248" s="40" t="s">
        <v>2315</v>
      </c>
    </row>
    <row r="3249" spans="2:6">
      <c r="B3249" s="8">
        <v>3246</v>
      </c>
      <c r="C3249" s="8" t="s">
        <v>2580</v>
      </c>
      <c r="D3249" s="8" t="s">
        <v>769</v>
      </c>
      <c r="E3249" s="39">
        <v>247000</v>
      </c>
      <c r="F3249" s="40" t="s">
        <v>2315</v>
      </c>
    </row>
    <row r="3250" spans="2:6">
      <c r="B3250" s="8">
        <v>3247</v>
      </c>
      <c r="C3250" s="8" t="s">
        <v>2581</v>
      </c>
      <c r="D3250" s="8" t="s">
        <v>2423</v>
      </c>
      <c r="E3250" s="39">
        <v>220000</v>
      </c>
      <c r="F3250" s="40" t="s">
        <v>2315</v>
      </c>
    </row>
    <row r="3251" spans="2:6">
      <c r="B3251" s="8">
        <v>3248</v>
      </c>
      <c r="C3251" s="8" t="s">
        <v>1323</v>
      </c>
      <c r="D3251" s="8" t="s">
        <v>2582</v>
      </c>
      <c r="E3251" s="39">
        <v>400000</v>
      </c>
      <c r="F3251" s="40" t="s">
        <v>2315</v>
      </c>
    </row>
    <row r="3252" spans="2:6">
      <c r="B3252" s="8">
        <v>3249</v>
      </c>
      <c r="C3252" s="8" t="s">
        <v>2565</v>
      </c>
      <c r="D3252" s="8" t="s">
        <v>2427</v>
      </c>
      <c r="E3252" s="39">
        <v>450000</v>
      </c>
      <c r="F3252" s="40" t="s">
        <v>2315</v>
      </c>
    </row>
    <row r="3253" spans="2:6">
      <c r="B3253" s="8">
        <v>3250</v>
      </c>
      <c r="C3253" s="8" t="s">
        <v>1107</v>
      </c>
      <c r="D3253" s="8" t="s">
        <v>2583</v>
      </c>
      <c r="E3253" s="39">
        <v>181000</v>
      </c>
      <c r="F3253" s="40" t="s">
        <v>2315</v>
      </c>
    </row>
    <row r="3254" spans="2:6">
      <c r="B3254" s="8">
        <v>3251</v>
      </c>
      <c r="C3254" s="8" t="s">
        <v>1121</v>
      </c>
      <c r="D3254" s="8" t="s">
        <v>699</v>
      </c>
      <c r="E3254" s="39">
        <v>53000</v>
      </c>
      <c r="F3254" s="40" t="s">
        <v>2315</v>
      </c>
    </row>
    <row r="3255" spans="2:6">
      <c r="B3255" s="8">
        <v>3252</v>
      </c>
      <c r="C3255" s="8" t="s">
        <v>1121</v>
      </c>
      <c r="D3255" s="8" t="s">
        <v>1897</v>
      </c>
      <c r="E3255" s="39">
        <v>290000</v>
      </c>
      <c r="F3255" s="40" t="s">
        <v>2315</v>
      </c>
    </row>
    <row r="3256" spans="2:6">
      <c r="B3256" s="8">
        <v>3253</v>
      </c>
      <c r="C3256" s="8" t="s">
        <v>283</v>
      </c>
      <c r="D3256" s="8" t="s">
        <v>2584</v>
      </c>
      <c r="E3256" s="39">
        <v>303000</v>
      </c>
      <c r="F3256" s="40" t="s">
        <v>2315</v>
      </c>
    </row>
    <row r="3257" spans="2:6">
      <c r="B3257" s="8">
        <v>3254</v>
      </c>
      <c r="C3257" s="8" t="s">
        <v>1898</v>
      </c>
      <c r="D3257" s="8" t="s">
        <v>1304</v>
      </c>
      <c r="E3257" s="39">
        <v>284000</v>
      </c>
      <c r="F3257" s="40" t="s">
        <v>2315</v>
      </c>
    </row>
    <row r="3258" spans="2:6">
      <c r="B3258" s="8">
        <v>3255</v>
      </c>
      <c r="C3258" s="8" t="s">
        <v>290</v>
      </c>
      <c r="D3258" s="8" t="s">
        <v>983</v>
      </c>
      <c r="E3258" s="39">
        <v>53000</v>
      </c>
      <c r="F3258" s="40" t="s">
        <v>2315</v>
      </c>
    </row>
    <row r="3259" spans="2:6">
      <c r="B3259" s="8">
        <v>3256</v>
      </c>
      <c r="C3259" s="8" t="s">
        <v>1580</v>
      </c>
      <c r="D3259" s="8" t="s">
        <v>2585</v>
      </c>
      <c r="E3259" s="39">
        <v>84000</v>
      </c>
      <c r="F3259" s="40" t="s">
        <v>2315</v>
      </c>
    </row>
    <row r="3260" spans="2:6">
      <c r="B3260" s="8">
        <v>3257</v>
      </c>
      <c r="C3260" s="8" t="s">
        <v>324</v>
      </c>
      <c r="D3260" s="8" t="s">
        <v>1641</v>
      </c>
      <c r="E3260" s="39">
        <v>339000</v>
      </c>
      <c r="F3260" s="40" t="s">
        <v>2315</v>
      </c>
    </row>
    <row r="3261" spans="2:6">
      <c r="B3261" s="8">
        <v>3258</v>
      </c>
      <c r="C3261" s="8" t="s">
        <v>324</v>
      </c>
      <c r="D3261" s="8" t="s">
        <v>734</v>
      </c>
      <c r="E3261" s="39">
        <v>229000</v>
      </c>
      <c r="F3261" s="40" t="s">
        <v>2315</v>
      </c>
    </row>
    <row r="3262" spans="2:6">
      <c r="B3262" s="8">
        <v>3259</v>
      </c>
      <c r="C3262" s="8" t="s">
        <v>331</v>
      </c>
      <c r="D3262" s="8" t="s">
        <v>2586</v>
      </c>
      <c r="E3262" s="39">
        <v>61000</v>
      </c>
      <c r="F3262" s="40" t="s">
        <v>2315</v>
      </c>
    </row>
    <row r="3263" spans="2:6">
      <c r="B3263" s="8">
        <v>3260</v>
      </c>
      <c r="C3263" s="8" t="s">
        <v>331</v>
      </c>
      <c r="D3263" s="8" t="s">
        <v>2587</v>
      </c>
      <c r="E3263" s="39">
        <v>84000</v>
      </c>
      <c r="F3263" s="40" t="s">
        <v>2315</v>
      </c>
    </row>
    <row r="3264" spans="2:6">
      <c r="B3264" s="8">
        <v>3261</v>
      </c>
      <c r="C3264" s="8" t="s">
        <v>1146</v>
      </c>
      <c r="D3264" s="8" t="s">
        <v>2588</v>
      </c>
      <c r="E3264" s="39">
        <v>61000</v>
      </c>
      <c r="F3264" s="40" t="s">
        <v>2315</v>
      </c>
    </row>
    <row r="3265" spans="2:6">
      <c r="B3265" s="8">
        <v>3262</v>
      </c>
      <c r="C3265" s="8" t="s">
        <v>353</v>
      </c>
      <c r="D3265" s="8" t="s">
        <v>2589</v>
      </c>
      <c r="E3265" s="39">
        <v>177000</v>
      </c>
      <c r="F3265" s="40" t="s">
        <v>2315</v>
      </c>
    </row>
    <row r="3266" spans="2:6">
      <c r="B3266" s="8">
        <v>3263</v>
      </c>
      <c r="C3266" s="8" t="s">
        <v>361</v>
      </c>
      <c r="D3266" s="8" t="s">
        <v>1910</v>
      </c>
      <c r="E3266" s="39">
        <v>87000</v>
      </c>
      <c r="F3266" s="40" t="s">
        <v>2315</v>
      </c>
    </row>
    <row r="3267" spans="2:6">
      <c r="B3267" s="8">
        <v>3264</v>
      </c>
      <c r="C3267" s="8" t="s">
        <v>380</v>
      </c>
      <c r="D3267" s="8" t="s">
        <v>2590</v>
      </c>
      <c r="E3267" s="39">
        <v>78000</v>
      </c>
      <c r="F3267" s="40" t="s">
        <v>2315</v>
      </c>
    </row>
    <row r="3268" spans="2:6">
      <c r="B3268" s="8">
        <v>3265</v>
      </c>
      <c r="C3268" s="8" t="s">
        <v>409</v>
      </c>
      <c r="D3268" s="8" t="s">
        <v>2591</v>
      </c>
      <c r="E3268" s="39">
        <v>69000</v>
      </c>
      <c r="F3268" s="40" t="s">
        <v>2315</v>
      </c>
    </row>
    <row r="3269" spans="2:6">
      <c r="B3269" s="8">
        <v>3266</v>
      </c>
      <c r="C3269" s="8" t="s">
        <v>414</v>
      </c>
      <c r="D3269" s="8" t="s">
        <v>2592</v>
      </c>
      <c r="E3269" s="39">
        <v>160000</v>
      </c>
      <c r="F3269" s="40" t="s">
        <v>2315</v>
      </c>
    </row>
    <row r="3270" spans="2:6">
      <c r="B3270" s="8">
        <v>3267</v>
      </c>
      <c r="C3270" s="8" t="s">
        <v>433</v>
      </c>
      <c r="D3270" s="8" t="s">
        <v>2593</v>
      </c>
      <c r="E3270" s="39">
        <v>111000</v>
      </c>
      <c r="F3270" s="40" t="s">
        <v>2315</v>
      </c>
    </row>
    <row r="3271" spans="2:6">
      <c r="B3271" s="8">
        <v>3268</v>
      </c>
      <c r="C3271" s="8" t="s">
        <v>442</v>
      </c>
      <c r="D3271" s="8" t="s">
        <v>2594</v>
      </c>
      <c r="E3271" s="39">
        <v>176000</v>
      </c>
      <c r="F3271" s="40" t="s">
        <v>2315</v>
      </c>
    </row>
    <row r="3272" spans="2:6">
      <c r="B3272" s="8">
        <v>3269</v>
      </c>
      <c r="C3272" s="8" t="s">
        <v>450</v>
      </c>
      <c r="D3272" s="8" t="s">
        <v>2588</v>
      </c>
      <c r="E3272" s="39">
        <v>84000</v>
      </c>
      <c r="F3272" s="40" t="s">
        <v>2315</v>
      </c>
    </row>
    <row r="3273" spans="2:6">
      <c r="B3273" s="8">
        <v>3270</v>
      </c>
      <c r="C3273" s="8" t="s">
        <v>455</v>
      </c>
      <c r="D3273" s="8" t="s">
        <v>2595</v>
      </c>
      <c r="E3273" s="39">
        <v>184000</v>
      </c>
      <c r="F3273" s="40" t="s">
        <v>2315</v>
      </c>
    </row>
    <row r="3274" spans="2:6">
      <c r="B3274" s="8">
        <v>3271</v>
      </c>
      <c r="C3274" s="8" t="s">
        <v>458</v>
      </c>
      <c r="D3274" s="8" t="s">
        <v>2596</v>
      </c>
      <c r="E3274" s="39">
        <v>56000</v>
      </c>
      <c r="F3274" s="40" t="s">
        <v>2315</v>
      </c>
    </row>
    <row r="3275" spans="2:6">
      <c r="B3275" s="8">
        <v>3272</v>
      </c>
      <c r="C3275" s="8" t="s">
        <v>1630</v>
      </c>
      <c r="D3275" s="8" t="s">
        <v>2597</v>
      </c>
      <c r="E3275" s="39">
        <v>84000</v>
      </c>
      <c r="F3275" s="40" t="s">
        <v>2315</v>
      </c>
    </row>
    <row r="3276" spans="2:6">
      <c r="B3276" s="8">
        <v>3273</v>
      </c>
      <c r="C3276" s="8" t="s">
        <v>1630</v>
      </c>
      <c r="D3276" s="8" t="s">
        <v>2598</v>
      </c>
      <c r="E3276" s="39">
        <v>164000</v>
      </c>
      <c r="F3276" s="40" t="s">
        <v>2315</v>
      </c>
    </row>
    <row r="3277" spans="2:6">
      <c r="B3277" s="8">
        <v>3274</v>
      </c>
      <c r="C3277" s="8" t="s">
        <v>461</v>
      </c>
      <c r="D3277" s="8" t="s">
        <v>734</v>
      </c>
      <c r="E3277" s="39">
        <v>266000</v>
      </c>
      <c r="F3277" s="40" t="s">
        <v>2315</v>
      </c>
    </row>
    <row r="3278" spans="2:6">
      <c r="B3278" s="8">
        <v>3275</v>
      </c>
      <c r="C3278" s="8" t="s">
        <v>461</v>
      </c>
      <c r="D3278" s="8" t="s">
        <v>2599</v>
      </c>
      <c r="E3278" s="39">
        <v>328000</v>
      </c>
      <c r="F3278" s="40" t="s">
        <v>2315</v>
      </c>
    </row>
    <row r="3279" spans="2:6">
      <c r="B3279" s="8">
        <v>3276</v>
      </c>
      <c r="C3279" s="8" t="s">
        <v>473</v>
      </c>
      <c r="D3279" s="8" t="s">
        <v>1910</v>
      </c>
      <c r="E3279" s="39">
        <v>87000</v>
      </c>
      <c r="F3279" s="40" t="s">
        <v>2315</v>
      </c>
    </row>
    <row r="3280" spans="2:6">
      <c r="B3280" s="8">
        <v>3277</v>
      </c>
      <c r="C3280" s="8" t="s">
        <v>477</v>
      </c>
      <c r="D3280" s="8" t="s">
        <v>2600</v>
      </c>
      <c r="E3280" s="39">
        <v>53000</v>
      </c>
      <c r="F3280" s="40" t="s">
        <v>2315</v>
      </c>
    </row>
    <row r="3281" spans="2:6">
      <c r="B3281" s="8">
        <v>3278</v>
      </c>
      <c r="C3281" s="8" t="s">
        <v>484</v>
      </c>
      <c r="D3281" s="8" t="s">
        <v>2601</v>
      </c>
      <c r="E3281" s="39">
        <v>80000</v>
      </c>
      <c r="F3281" s="40" t="s">
        <v>2315</v>
      </c>
    </row>
    <row r="3282" spans="2:6">
      <c r="B3282" s="8">
        <v>3279</v>
      </c>
      <c r="C3282" s="8" t="s">
        <v>487</v>
      </c>
      <c r="D3282" s="8" t="s">
        <v>2602</v>
      </c>
      <c r="E3282" s="39">
        <v>84000</v>
      </c>
      <c r="F3282" s="40" t="s">
        <v>2315</v>
      </c>
    </row>
    <row r="3283" spans="2:6">
      <c r="B3283" s="8">
        <v>3280</v>
      </c>
      <c r="C3283" s="8" t="s">
        <v>505</v>
      </c>
      <c r="D3283" s="8" t="s">
        <v>734</v>
      </c>
      <c r="E3283" s="39">
        <v>332000</v>
      </c>
      <c r="F3283" s="40" t="s">
        <v>2315</v>
      </c>
    </row>
    <row r="3284" spans="2:6">
      <c r="B3284" s="8">
        <v>3281</v>
      </c>
      <c r="C3284" s="8" t="s">
        <v>520</v>
      </c>
      <c r="D3284" s="8" t="s">
        <v>2603</v>
      </c>
      <c r="E3284" s="39">
        <v>53000</v>
      </c>
      <c r="F3284" s="40" t="s">
        <v>2315</v>
      </c>
    </row>
    <row r="3285" spans="2:6">
      <c r="B3285" s="8">
        <v>3282</v>
      </c>
      <c r="C3285" s="8" t="s">
        <v>1665</v>
      </c>
      <c r="D3285" s="8" t="s">
        <v>2276</v>
      </c>
      <c r="E3285" s="39">
        <v>77000</v>
      </c>
      <c r="F3285" s="40" t="s">
        <v>2315</v>
      </c>
    </row>
    <row r="3286" spans="2:6">
      <c r="B3286" s="8">
        <v>3283</v>
      </c>
      <c r="C3286" s="8" t="s">
        <v>556</v>
      </c>
      <c r="D3286" s="8" t="s">
        <v>2604</v>
      </c>
      <c r="E3286" s="39">
        <v>96000</v>
      </c>
      <c r="F3286" s="40" t="s">
        <v>2315</v>
      </c>
    </row>
    <row r="3287" spans="2:6">
      <c r="B3287" s="8">
        <v>3284</v>
      </c>
      <c r="C3287" s="8" t="s">
        <v>1256</v>
      </c>
      <c r="D3287" s="8" t="s">
        <v>2605</v>
      </c>
      <c r="E3287" s="39">
        <v>63000</v>
      </c>
      <c r="F3287" s="40" t="s">
        <v>2315</v>
      </c>
    </row>
    <row r="3288" spans="2:6">
      <c r="B3288" s="8">
        <v>3285</v>
      </c>
      <c r="C3288" s="8" t="s">
        <v>566</v>
      </c>
      <c r="D3288" s="8" t="s">
        <v>2606</v>
      </c>
      <c r="E3288" s="39">
        <v>530000</v>
      </c>
      <c r="F3288" s="40" t="s">
        <v>2315</v>
      </c>
    </row>
    <row r="3289" spans="2:6">
      <c r="B3289" s="8">
        <v>3286</v>
      </c>
      <c r="C3289" s="8" t="s">
        <v>576</v>
      </c>
      <c r="D3289" s="8" t="s">
        <v>699</v>
      </c>
      <c r="E3289" s="39">
        <v>84000</v>
      </c>
      <c r="F3289" s="40" t="s">
        <v>2315</v>
      </c>
    </row>
    <row r="3290" spans="2:6">
      <c r="B3290" s="8">
        <v>3287</v>
      </c>
      <c r="C3290" s="8" t="s">
        <v>588</v>
      </c>
      <c r="D3290" s="8" t="s">
        <v>2607</v>
      </c>
      <c r="E3290" s="39">
        <v>122000</v>
      </c>
      <c r="F3290" s="40" t="s">
        <v>2315</v>
      </c>
    </row>
    <row r="3291" spans="2:6">
      <c r="B3291" s="8">
        <v>3288</v>
      </c>
      <c r="C3291" s="8" t="s">
        <v>595</v>
      </c>
      <c r="D3291" s="8" t="s">
        <v>2608</v>
      </c>
      <c r="E3291" s="39">
        <v>53000</v>
      </c>
      <c r="F3291" s="40" t="s">
        <v>2315</v>
      </c>
    </row>
    <row r="3292" spans="2:6">
      <c r="B3292" s="8">
        <v>3289</v>
      </c>
      <c r="C3292" s="8" t="s">
        <v>1707</v>
      </c>
      <c r="D3292" s="8" t="s">
        <v>2609</v>
      </c>
      <c r="E3292" s="39">
        <v>71000</v>
      </c>
      <c r="F3292" s="40" t="s">
        <v>2315</v>
      </c>
    </row>
    <row r="3293" spans="2:6">
      <c r="B3293" s="8">
        <v>3290</v>
      </c>
      <c r="C3293" s="8" t="s">
        <v>1707</v>
      </c>
      <c r="D3293" s="8" t="s">
        <v>1076</v>
      </c>
      <c r="E3293" s="39">
        <v>53000</v>
      </c>
      <c r="F3293" s="40" t="s">
        <v>2315</v>
      </c>
    </row>
    <row r="3294" spans="2:6">
      <c r="B3294" s="8">
        <v>3291</v>
      </c>
      <c r="C3294" s="8" t="s">
        <v>619</v>
      </c>
      <c r="D3294" s="8" t="s">
        <v>2610</v>
      </c>
      <c r="E3294" s="39">
        <v>78000</v>
      </c>
      <c r="F3294" s="40" t="s">
        <v>2315</v>
      </c>
    </row>
    <row r="3295" spans="2:6">
      <c r="B3295" s="8">
        <v>3292</v>
      </c>
      <c r="C3295" s="8" t="s">
        <v>619</v>
      </c>
      <c r="D3295" s="8" t="s">
        <v>2611</v>
      </c>
      <c r="E3295" s="39">
        <v>84000</v>
      </c>
      <c r="F3295" s="40" t="s">
        <v>2315</v>
      </c>
    </row>
    <row r="3296" spans="2:6">
      <c r="B3296" s="8">
        <v>3293</v>
      </c>
      <c r="C3296" s="8" t="s">
        <v>622</v>
      </c>
      <c r="D3296" s="8" t="s">
        <v>2612</v>
      </c>
      <c r="E3296" s="39">
        <v>84000</v>
      </c>
      <c r="F3296" s="40" t="s">
        <v>2315</v>
      </c>
    </row>
    <row r="3297" spans="2:6">
      <c r="B3297" s="8">
        <v>3294</v>
      </c>
      <c r="C3297" s="8" t="s">
        <v>622</v>
      </c>
      <c r="D3297" s="8" t="s">
        <v>2613</v>
      </c>
      <c r="E3297" s="39">
        <v>141000</v>
      </c>
      <c r="F3297" s="40" t="s">
        <v>2315</v>
      </c>
    </row>
    <row r="3298" spans="2:6">
      <c r="B3298" s="8">
        <v>3295</v>
      </c>
      <c r="C3298" s="8" t="s">
        <v>635</v>
      </c>
      <c r="D3298" s="8" t="s">
        <v>734</v>
      </c>
      <c r="E3298" s="39">
        <v>148000</v>
      </c>
      <c r="F3298" s="40" t="s">
        <v>2315</v>
      </c>
    </row>
    <row r="3299" spans="2:6">
      <c r="B3299" s="8">
        <v>3296</v>
      </c>
      <c r="C3299" s="8" t="s">
        <v>645</v>
      </c>
      <c r="D3299" s="8" t="s">
        <v>2540</v>
      </c>
      <c r="E3299" s="39">
        <v>1204000</v>
      </c>
      <c r="F3299" s="40" t="s">
        <v>2315</v>
      </c>
    </row>
    <row r="3300" spans="2:6">
      <c r="B3300" s="8">
        <v>3297</v>
      </c>
      <c r="C3300" s="8" t="s">
        <v>650</v>
      </c>
      <c r="D3300" s="8" t="s">
        <v>2614</v>
      </c>
      <c r="E3300" s="39">
        <v>155000</v>
      </c>
      <c r="F3300" s="40" t="s">
        <v>2315</v>
      </c>
    </row>
    <row r="3301" spans="2:6">
      <c r="B3301" s="8">
        <v>3298</v>
      </c>
      <c r="C3301" s="8" t="s">
        <v>1318</v>
      </c>
      <c r="D3301" s="8" t="s">
        <v>2615</v>
      </c>
      <c r="E3301" s="39">
        <v>211000</v>
      </c>
      <c r="F3301" s="40" t="s">
        <v>2315</v>
      </c>
    </row>
    <row r="3302" spans="2:6">
      <c r="B3302" s="8">
        <v>3299</v>
      </c>
      <c r="C3302" s="8" t="s">
        <v>1318</v>
      </c>
      <c r="D3302" s="8" t="s">
        <v>1772</v>
      </c>
      <c r="E3302" s="39">
        <v>244000</v>
      </c>
      <c r="F3302" s="40" t="s">
        <v>2315</v>
      </c>
    </row>
    <row r="3303" spans="2:6">
      <c r="B3303" s="8">
        <v>3300</v>
      </c>
      <c r="C3303" s="8" t="s">
        <v>1320</v>
      </c>
      <c r="D3303" s="8" t="s">
        <v>2616</v>
      </c>
      <c r="E3303" s="39">
        <v>177000</v>
      </c>
      <c r="F3303" s="40" t="s">
        <v>2315</v>
      </c>
    </row>
    <row r="3304" spans="2:6">
      <c r="B3304" s="8">
        <v>3301</v>
      </c>
      <c r="C3304" s="8" t="s">
        <v>1320</v>
      </c>
      <c r="D3304" s="8" t="s">
        <v>2617</v>
      </c>
      <c r="E3304" s="39">
        <v>69000</v>
      </c>
      <c r="F3304" s="40" t="s">
        <v>2315</v>
      </c>
    </row>
    <row r="3305" spans="2:6">
      <c r="B3305" s="8">
        <v>3302</v>
      </c>
      <c r="C3305" s="8" t="s">
        <v>2097</v>
      </c>
      <c r="D3305" s="8" t="s">
        <v>1910</v>
      </c>
      <c r="E3305" s="39">
        <v>98000</v>
      </c>
      <c r="F3305" s="40" t="s">
        <v>2315</v>
      </c>
    </row>
    <row r="3306" spans="2:6">
      <c r="B3306" s="8">
        <v>3303</v>
      </c>
      <c r="C3306" s="8" t="s">
        <v>2097</v>
      </c>
      <c r="D3306" s="8" t="s">
        <v>2618</v>
      </c>
      <c r="E3306" s="39">
        <v>296000</v>
      </c>
      <c r="F3306" s="40" t="s">
        <v>2315</v>
      </c>
    </row>
    <row r="3307" spans="2:6">
      <c r="B3307" s="8">
        <v>3304</v>
      </c>
      <c r="C3307" s="8" t="s">
        <v>692</v>
      </c>
      <c r="D3307" s="8" t="s">
        <v>2588</v>
      </c>
      <c r="E3307" s="39">
        <v>53000</v>
      </c>
      <c r="F3307" s="40" t="s">
        <v>2315</v>
      </c>
    </row>
    <row r="3308" spans="2:6">
      <c r="B3308" s="8">
        <v>3305</v>
      </c>
      <c r="C3308" s="8" t="s">
        <v>692</v>
      </c>
      <c r="D3308" s="8" t="s">
        <v>1910</v>
      </c>
      <c r="E3308" s="39">
        <v>87000</v>
      </c>
      <c r="F3308" s="40" t="s">
        <v>2315</v>
      </c>
    </row>
    <row r="3309" spans="2:6">
      <c r="B3309" s="8">
        <v>3306</v>
      </c>
      <c r="C3309" s="8" t="s">
        <v>1355</v>
      </c>
      <c r="D3309" s="8" t="s">
        <v>2278</v>
      </c>
      <c r="E3309" s="39">
        <v>77000</v>
      </c>
      <c r="F3309" s="40" t="s">
        <v>2315</v>
      </c>
    </row>
    <row r="3310" spans="2:6">
      <c r="B3310" s="8">
        <v>3307</v>
      </c>
      <c r="C3310" s="8" t="s">
        <v>730</v>
      </c>
      <c r="D3310" s="8" t="s">
        <v>2619</v>
      </c>
      <c r="E3310" s="39">
        <v>53000</v>
      </c>
      <c r="F3310" s="40" t="s">
        <v>2315</v>
      </c>
    </row>
    <row r="3311" spans="2:6">
      <c r="B3311" s="8">
        <v>3308</v>
      </c>
      <c r="C3311" s="8" t="s">
        <v>738</v>
      </c>
      <c r="D3311" s="8" t="s">
        <v>2585</v>
      </c>
      <c r="E3311" s="39">
        <v>86000</v>
      </c>
      <c r="F3311" s="40" t="s">
        <v>2315</v>
      </c>
    </row>
    <row r="3312" spans="2:6">
      <c r="B3312" s="8">
        <v>3309</v>
      </c>
      <c r="C3312" s="8" t="s">
        <v>738</v>
      </c>
      <c r="D3312" s="8" t="s">
        <v>2334</v>
      </c>
      <c r="E3312" s="39">
        <v>210000</v>
      </c>
      <c r="F3312" s="40" t="s">
        <v>2315</v>
      </c>
    </row>
    <row r="3313" spans="2:6">
      <c r="B3313" s="8">
        <v>3310</v>
      </c>
      <c r="C3313" s="8" t="s">
        <v>745</v>
      </c>
      <c r="D3313" s="8" t="s">
        <v>1910</v>
      </c>
      <c r="E3313" s="39">
        <v>110000</v>
      </c>
      <c r="F3313" s="40" t="s">
        <v>2315</v>
      </c>
    </row>
    <row r="3314" spans="2:6">
      <c r="B3314" s="8">
        <v>3311</v>
      </c>
      <c r="C3314" s="8" t="s">
        <v>745</v>
      </c>
      <c r="D3314" s="8" t="s">
        <v>734</v>
      </c>
      <c r="E3314" s="39">
        <v>783000</v>
      </c>
      <c r="F3314" s="40" t="s">
        <v>2315</v>
      </c>
    </row>
    <row r="3315" spans="2:6">
      <c r="B3315" s="8">
        <v>3312</v>
      </c>
      <c r="C3315" s="8" t="s">
        <v>760</v>
      </c>
      <c r="D3315" s="8" t="s">
        <v>2620</v>
      </c>
      <c r="E3315" s="39">
        <v>1646000</v>
      </c>
      <c r="F3315" s="40" t="s">
        <v>2315</v>
      </c>
    </row>
    <row r="3316" spans="2:6">
      <c r="B3316" s="8">
        <v>3313</v>
      </c>
      <c r="C3316" s="8" t="s">
        <v>2280</v>
      </c>
      <c r="D3316" s="8" t="s">
        <v>2621</v>
      </c>
      <c r="E3316" s="39">
        <v>84000</v>
      </c>
      <c r="F3316" s="40" t="s">
        <v>2315</v>
      </c>
    </row>
    <row r="3317" spans="2:6">
      <c r="B3317" s="8">
        <v>3314</v>
      </c>
      <c r="C3317" s="8" t="s">
        <v>2280</v>
      </c>
      <c r="D3317" s="8" t="s">
        <v>2622</v>
      </c>
      <c r="E3317" s="39">
        <v>61000</v>
      </c>
      <c r="F3317" s="40" t="s">
        <v>2315</v>
      </c>
    </row>
    <row r="3318" spans="2:6">
      <c r="B3318" s="8">
        <v>3315</v>
      </c>
      <c r="C3318" s="8" t="s">
        <v>777</v>
      </c>
      <c r="D3318" s="8" t="s">
        <v>1897</v>
      </c>
      <c r="E3318" s="39">
        <v>290000</v>
      </c>
      <c r="F3318" s="40" t="s">
        <v>2315</v>
      </c>
    </row>
    <row r="3319" spans="2:6">
      <c r="B3319" s="8">
        <v>3316</v>
      </c>
      <c r="C3319" s="8" t="s">
        <v>1401</v>
      </c>
      <c r="D3319" s="8" t="s">
        <v>734</v>
      </c>
      <c r="E3319" s="39">
        <v>193000</v>
      </c>
      <c r="F3319" s="40" t="s">
        <v>2315</v>
      </c>
    </row>
    <row r="3320" spans="2:6">
      <c r="B3320" s="8">
        <v>3317</v>
      </c>
      <c r="C3320" s="8" t="s">
        <v>2623</v>
      </c>
      <c r="D3320" s="8" t="s">
        <v>2624</v>
      </c>
      <c r="E3320" s="39">
        <v>626000</v>
      </c>
      <c r="F3320" s="40" t="s">
        <v>2315</v>
      </c>
    </row>
    <row r="3321" spans="2:6">
      <c r="B3321" s="8">
        <v>3318</v>
      </c>
      <c r="C3321" s="8" t="s">
        <v>1922</v>
      </c>
      <c r="D3321" s="8" t="s">
        <v>2625</v>
      </c>
      <c r="E3321" s="39">
        <v>67000</v>
      </c>
      <c r="F3321" s="40" t="s">
        <v>2315</v>
      </c>
    </row>
    <row r="3322" spans="2:6">
      <c r="B3322" s="8">
        <v>3319</v>
      </c>
      <c r="C3322" s="8" t="s">
        <v>825</v>
      </c>
      <c r="D3322" s="8" t="s">
        <v>2589</v>
      </c>
      <c r="E3322" s="39">
        <v>267000</v>
      </c>
      <c r="F3322" s="40" t="s">
        <v>2315</v>
      </c>
    </row>
    <row r="3323" spans="2:6">
      <c r="B3323" s="8">
        <v>3320</v>
      </c>
      <c r="C3323" s="8" t="s">
        <v>1414</v>
      </c>
      <c r="D3323" s="8" t="s">
        <v>2626</v>
      </c>
      <c r="E3323" s="39">
        <v>84000</v>
      </c>
      <c r="F3323" s="40" t="s">
        <v>2315</v>
      </c>
    </row>
    <row r="3324" spans="2:6">
      <c r="B3324" s="8">
        <v>3321</v>
      </c>
      <c r="C3324" s="8" t="s">
        <v>1414</v>
      </c>
      <c r="D3324" s="8" t="s">
        <v>983</v>
      </c>
      <c r="E3324" s="39">
        <v>84000</v>
      </c>
      <c r="F3324" s="40" t="s">
        <v>2315</v>
      </c>
    </row>
    <row r="3325" spans="2:6">
      <c r="B3325" s="8">
        <v>3322</v>
      </c>
      <c r="C3325" s="8" t="s">
        <v>1414</v>
      </c>
      <c r="D3325" s="8" t="s">
        <v>2605</v>
      </c>
      <c r="E3325" s="39">
        <v>406000</v>
      </c>
      <c r="F3325" s="40" t="s">
        <v>2315</v>
      </c>
    </row>
    <row r="3326" spans="2:6">
      <c r="B3326" s="8">
        <v>3323</v>
      </c>
      <c r="C3326" s="8" t="s">
        <v>842</v>
      </c>
      <c r="D3326" s="8" t="s">
        <v>2627</v>
      </c>
      <c r="E3326" s="39">
        <v>156000</v>
      </c>
      <c r="F3326" s="40" t="s">
        <v>2315</v>
      </c>
    </row>
    <row r="3327" spans="2:6">
      <c r="B3327" s="8">
        <v>3324</v>
      </c>
      <c r="C3327" s="8" t="s">
        <v>842</v>
      </c>
      <c r="D3327" s="8" t="s">
        <v>2628</v>
      </c>
      <c r="E3327" s="39">
        <v>177000</v>
      </c>
      <c r="F3327" s="40" t="s">
        <v>2315</v>
      </c>
    </row>
    <row r="3328" spans="2:6">
      <c r="B3328" s="8">
        <v>3325</v>
      </c>
      <c r="C3328" s="8" t="s">
        <v>848</v>
      </c>
      <c r="D3328" s="8" t="s">
        <v>2618</v>
      </c>
      <c r="E3328" s="39">
        <v>215000</v>
      </c>
      <c r="F3328" s="40" t="s">
        <v>2315</v>
      </c>
    </row>
    <row r="3329" spans="2:6">
      <c r="B3329" s="8">
        <v>3326</v>
      </c>
      <c r="C3329" s="8" t="s">
        <v>854</v>
      </c>
      <c r="D3329" s="8" t="s">
        <v>2629</v>
      </c>
      <c r="E3329" s="39">
        <v>53000</v>
      </c>
      <c r="F3329" s="40" t="s">
        <v>2315</v>
      </c>
    </row>
    <row r="3330" spans="2:6">
      <c r="B3330" s="8">
        <v>3327</v>
      </c>
      <c r="C3330" s="8" t="s">
        <v>854</v>
      </c>
      <c r="D3330" s="8" t="s">
        <v>2605</v>
      </c>
      <c r="E3330" s="39">
        <v>67000</v>
      </c>
      <c r="F3330" s="40" t="s">
        <v>2315</v>
      </c>
    </row>
    <row r="3331" spans="2:6">
      <c r="B3331" s="8">
        <v>3328</v>
      </c>
      <c r="C3331" s="8" t="s">
        <v>913</v>
      </c>
      <c r="D3331" s="8" t="s">
        <v>699</v>
      </c>
      <c r="E3331" s="39">
        <v>107000</v>
      </c>
      <c r="F3331" s="40" t="s">
        <v>2315</v>
      </c>
    </row>
    <row r="3332" spans="2:6">
      <c r="B3332" s="8">
        <v>3329</v>
      </c>
      <c r="C3332" s="8" t="s">
        <v>913</v>
      </c>
      <c r="D3332" s="8" t="s">
        <v>2630</v>
      </c>
      <c r="E3332" s="39">
        <v>121000</v>
      </c>
      <c r="F3332" s="40" t="s">
        <v>2315</v>
      </c>
    </row>
    <row r="3333" spans="2:6">
      <c r="B3333" s="8">
        <v>3330</v>
      </c>
      <c r="C3333" s="8" t="s">
        <v>914</v>
      </c>
      <c r="D3333" s="8" t="s">
        <v>241</v>
      </c>
      <c r="E3333" s="39">
        <v>303000</v>
      </c>
      <c r="F3333" s="40" t="s">
        <v>2315</v>
      </c>
    </row>
    <row r="3334" spans="2:6">
      <c r="B3334" s="8">
        <v>3331</v>
      </c>
      <c r="C3334" s="8" t="s">
        <v>914</v>
      </c>
      <c r="D3334" s="8" t="s">
        <v>909</v>
      </c>
      <c r="E3334" s="39">
        <v>121000</v>
      </c>
      <c r="F3334" s="40" t="s">
        <v>2315</v>
      </c>
    </row>
    <row r="3335" spans="2:6">
      <c r="B3335" s="8">
        <v>3332</v>
      </c>
      <c r="C3335" s="8" t="s">
        <v>928</v>
      </c>
      <c r="D3335" s="8" t="s">
        <v>2631</v>
      </c>
      <c r="E3335" s="39">
        <v>53000</v>
      </c>
      <c r="F3335" s="40" t="s">
        <v>2315</v>
      </c>
    </row>
    <row r="3336" spans="2:6">
      <c r="B3336" s="8">
        <v>3333</v>
      </c>
      <c r="C3336" s="8" t="s">
        <v>937</v>
      </c>
      <c r="D3336" s="8" t="s">
        <v>1910</v>
      </c>
      <c r="E3336" s="39">
        <v>105000</v>
      </c>
      <c r="F3336" s="40" t="s">
        <v>2315</v>
      </c>
    </row>
    <row r="3337" spans="2:6">
      <c r="B3337" s="8">
        <v>3334</v>
      </c>
      <c r="C3337" s="8" t="s">
        <v>937</v>
      </c>
      <c r="D3337" s="8" t="s">
        <v>2632</v>
      </c>
      <c r="E3337" s="39">
        <v>321000</v>
      </c>
      <c r="F3337" s="40" t="s">
        <v>2315</v>
      </c>
    </row>
    <row r="3338" spans="2:6">
      <c r="B3338" s="8">
        <v>3335</v>
      </c>
      <c r="C3338" s="8" t="s">
        <v>1470</v>
      </c>
      <c r="D3338" s="8" t="s">
        <v>2633</v>
      </c>
      <c r="E3338" s="39">
        <v>98000</v>
      </c>
      <c r="F3338" s="40" t="s">
        <v>2315</v>
      </c>
    </row>
    <row r="3339" spans="2:6">
      <c r="B3339" s="8">
        <v>3336</v>
      </c>
      <c r="C3339" s="8" t="s">
        <v>2297</v>
      </c>
      <c r="D3339" s="8" t="s">
        <v>2597</v>
      </c>
      <c r="E3339" s="39">
        <v>84000</v>
      </c>
      <c r="F3339" s="40" t="s">
        <v>2315</v>
      </c>
    </row>
    <row r="3340" spans="2:6">
      <c r="B3340" s="8">
        <v>3337</v>
      </c>
      <c r="C3340" s="8" t="s">
        <v>2297</v>
      </c>
      <c r="D3340" s="8" t="s">
        <v>498</v>
      </c>
      <c r="E3340" s="39">
        <v>53000</v>
      </c>
      <c r="F3340" s="40" t="s">
        <v>2315</v>
      </c>
    </row>
    <row r="3341" spans="2:6">
      <c r="B3341" s="8">
        <v>3338</v>
      </c>
      <c r="C3341" s="8" t="s">
        <v>1002</v>
      </c>
      <c r="D3341" s="8" t="s">
        <v>2634</v>
      </c>
      <c r="E3341" s="39">
        <v>53000</v>
      </c>
      <c r="F3341" s="40" t="s">
        <v>2315</v>
      </c>
    </row>
    <row r="3342" spans="2:6">
      <c r="B3342" s="8">
        <v>3339</v>
      </c>
      <c r="C3342" s="8" t="s">
        <v>1002</v>
      </c>
      <c r="D3342" s="8" t="s">
        <v>2245</v>
      </c>
      <c r="E3342" s="39">
        <v>344000</v>
      </c>
      <c r="F3342" s="40" t="s">
        <v>2315</v>
      </c>
    </row>
    <row r="3343" spans="2:6">
      <c r="B3343" s="8">
        <v>3340</v>
      </c>
      <c r="C3343" s="8" t="s">
        <v>2300</v>
      </c>
      <c r="D3343" s="8" t="s">
        <v>2635</v>
      </c>
      <c r="E3343" s="39">
        <v>115000</v>
      </c>
      <c r="F3343" s="40" t="s">
        <v>2315</v>
      </c>
    </row>
    <row r="3344" spans="2:6">
      <c r="B3344" s="8">
        <v>3341</v>
      </c>
      <c r="C3344" s="8" t="s">
        <v>1504</v>
      </c>
      <c r="D3344" s="8" t="s">
        <v>2636</v>
      </c>
      <c r="E3344" s="39">
        <v>180000</v>
      </c>
      <c r="F3344" s="40" t="s">
        <v>2315</v>
      </c>
    </row>
    <row r="3345" spans="2:6">
      <c r="B3345" s="8">
        <v>3342</v>
      </c>
      <c r="C3345" s="8" t="s">
        <v>2637</v>
      </c>
      <c r="D3345" s="8" t="s">
        <v>2638</v>
      </c>
      <c r="E3345" s="39">
        <v>76000</v>
      </c>
      <c r="F3345" s="40" t="s">
        <v>2315</v>
      </c>
    </row>
    <row r="3346" spans="2:6">
      <c r="B3346" s="8">
        <v>3343</v>
      </c>
      <c r="C3346" s="8" t="s">
        <v>1873</v>
      </c>
      <c r="D3346" s="8" t="s">
        <v>2639</v>
      </c>
      <c r="E3346" s="39">
        <v>104000</v>
      </c>
      <c r="F3346" s="40" t="s">
        <v>2315</v>
      </c>
    </row>
    <row r="3347" spans="2:6">
      <c r="B3347" s="8">
        <v>3344</v>
      </c>
      <c r="C3347" s="8" t="s">
        <v>1048</v>
      </c>
      <c r="D3347" s="8" t="s">
        <v>2607</v>
      </c>
      <c r="E3347" s="39">
        <v>142000</v>
      </c>
      <c r="F3347" s="40" t="s">
        <v>2315</v>
      </c>
    </row>
    <row r="3348" spans="2:6">
      <c r="B3348" s="8">
        <v>3345</v>
      </c>
      <c r="C3348" s="8" t="s">
        <v>1048</v>
      </c>
      <c r="D3348" s="8" t="s">
        <v>2589</v>
      </c>
      <c r="E3348" s="39">
        <v>208000</v>
      </c>
      <c r="F3348" s="40" t="s">
        <v>2315</v>
      </c>
    </row>
    <row r="3349" spans="2:6">
      <c r="B3349" s="8">
        <v>3346</v>
      </c>
      <c r="C3349" s="8" t="s">
        <v>2308</v>
      </c>
      <c r="D3349" s="8" t="s">
        <v>734</v>
      </c>
      <c r="E3349" s="39">
        <v>65000</v>
      </c>
      <c r="F3349" s="40" t="s">
        <v>2315</v>
      </c>
    </row>
    <row r="3350" spans="2:6">
      <c r="B3350" s="8">
        <v>3347</v>
      </c>
      <c r="C3350" s="8" t="s">
        <v>2229</v>
      </c>
      <c r="D3350" s="8" t="s">
        <v>983</v>
      </c>
      <c r="E3350" s="39">
        <v>53000</v>
      </c>
      <c r="F3350" s="40" t="s">
        <v>2315</v>
      </c>
    </row>
    <row r="3351" spans="2:6">
      <c r="B3351" s="8">
        <v>3348</v>
      </c>
      <c r="C3351" s="8" t="s">
        <v>2640</v>
      </c>
      <c r="D3351" s="8" t="s">
        <v>2641</v>
      </c>
      <c r="E3351" s="39">
        <v>131000</v>
      </c>
      <c r="F3351" s="40" t="s">
        <v>2315</v>
      </c>
    </row>
    <row r="3352" spans="2:6">
      <c r="B3352" s="8">
        <v>3349</v>
      </c>
      <c r="C3352" s="8" t="s">
        <v>1080</v>
      </c>
      <c r="D3352" s="8" t="s">
        <v>2642</v>
      </c>
      <c r="E3352" s="39">
        <v>53000</v>
      </c>
      <c r="F3352" s="40" t="s">
        <v>2315</v>
      </c>
    </row>
    <row r="3353" spans="2:6">
      <c r="B3353" s="8">
        <v>3350</v>
      </c>
      <c r="C3353" s="8" t="s">
        <v>1080</v>
      </c>
      <c r="D3353" s="8" t="s">
        <v>2614</v>
      </c>
      <c r="E3353" s="39">
        <v>53000</v>
      </c>
      <c r="F3353" s="40" t="s">
        <v>2315</v>
      </c>
    </row>
    <row r="3354" spans="2:6">
      <c r="B3354" s="8"/>
      <c r="C3354" s="8"/>
      <c r="D3354" s="8"/>
      <c r="E3354" s="39"/>
      <c r="F3354" s="40"/>
    </row>
    <row r="3355" spans="2:6">
      <c r="B3355" s="8"/>
      <c r="C3355" s="8"/>
      <c r="D3355" s="8"/>
      <c r="E3355" s="39"/>
      <c r="F3355" s="40"/>
    </row>
    <row r="3356" spans="2:6">
      <c r="B3356" s="8"/>
      <c r="C3356" s="8"/>
      <c r="D3356" s="8"/>
      <c r="E3356" s="39"/>
      <c r="F3356" s="40"/>
    </row>
    <row r="3357" spans="2:6">
      <c r="B3357" s="8"/>
      <c r="C3357" s="8"/>
      <c r="D3357" s="8"/>
      <c r="E3357" s="39"/>
      <c r="F3357" s="40"/>
    </row>
    <row r="3358" spans="2:6">
      <c r="B3358" s="8"/>
      <c r="C3358" s="8"/>
      <c r="D3358" s="8"/>
      <c r="E3358" s="39"/>
      <c r="F3358" s="40"/>
    </row>
    <row r="3359" spans="2:6">
      <c r="B3359" s="8"/>
      <c r="C3359" s="8"/>
      <c r="D3359" s="8"/>
      <c r="E3359" s="39"/>
      <c r="F3359" s="40"/>
    </row>
    <row r="3360" spans="2:6">
      <c r="B3360" s="8"/>
      <c r="C3360" s="8"/>
      <c r="D3360" s="8"/>
      <c r="E3360" s="39"/>
      <c r="F3360" s="40"/>
    </row>
    <row r="3361" spans="2:6">
      <c r="B3361" s="8"/>
      <c r="C3361" s="8"/>
      <c r="D3361" s="8"/>
      <c r="E3361" s="39"/>
      <c r="F3361" s="40"/>
    </row>
    <row r="3362" spans="2:6">
      <c r="B3362" s="8"/>
      <c r="C3362" s="8"/>
      <c r="D3362" s="8"/>
      <c r="E3362" s="39"/>
      <c r="F3362" s="40"/>
    </row>
    <row r="3363" spans="2:6">
      <c r="B3363" s="8"/>
      <c r="C3363" s="8"/>
      <c r="D3363" s="8"/>
      <c r="E3363" s="39"/>
      <c r="F3363" s="40"/>
    </row>
    <row r="3364" spans="2:6">
      <c r="B3364" s="8"/>
      <c r="C3364" s="8"/>
      <c r="D3364" s="8"/>
      <c r="E3364" s="39"/>
      <c r="F3364" s="40"/>
    </row>
    <row r="3365" spans="2:6">
      <c r="B3365" s="8"/>
      <c r="C3365" s="8"/>
      <c r="D3365" s="8"/>
      <c r="E3365" s="39"/>
      <c r="F3365" s="40"/>
    </row>
    <row r="3366" spans="2:6">
      <c r="B3366" s="8"/>
      <c r="C3366" s="8"/>
      <c r="D3366" s="8"/>
      <c r="E3366" s="39"/>
      <c r="F3366" s="40"/>
    </row>
    <row r="3367" spans="2:6">
      <c r="B3367" s="8"/>
      <c r="C3367" s="8"/>
      <c r="D3367" s="8"/>
      <c r="E3367" s="39"/>
      <c r="F3367" s="40"/>
    </row>
    <row r="3368" spans="2:6">
      <c r="B3368" s="8"/>
      <c r="C3368" s="8"/>
      <c r="D3368" s="8"/>
      <c r="E3368" s="39"/>
      <c r="F3368" s="40"/>
    </row>
    <row r="3369" spans="2:6">
      <c r="B3369" s="8"/>
      <c r="C3369" s="8"/>
      <c r="D3369" s="8"/>
      <c r="E3369" s="39"/>
      <c r="F3369" s="40"/>
    </row>
    <row r="3370" spans="2:6">
      <c r="B3370" s="8"/>
      <c r="C3370" s="8"/>
      <c r="D3370" s="8"/>
      <c r="E3370" s="39"/>
      <c r="F3370" s="40"/>
    </row>
    <row r="3371" spans="2:6">
      <c r="B3371" s="8"/>
      <c r="C3371" s="8"/>
      <c r="D3371" s="8"/>
      <c r="E3371" s="39"/>
      <c r="F3371" s="40"/>
    </row>
    <row r="3372" spans="2:6">
      <c r="B3372" s="8"/>
      <c r="C3372" s="8"/>
      <c r="D3372" s="8"/>
      <c r="E3372" s="39"/>
      <c r="F3372" s="40"/>
    </row>
    <row r="3373" spans="2:6">
      <c r="B3373" s="8"/>
      <c r="C3373" s="8"/>
      <c r="D3373" s="8"/>
      <c r="E3373" s="39"/>
      <c r="F3373" s="40"/>
    </row>
    <row r="3374" spans="2:6">
      <c r="B3374" s="8"/>
      <c r="C3374" s="8"/>
      <c r="D3374" s="8"/>
      <c r="E3374" s="39"/>
      <c r="F3374" s="40"/>
    </row>
    <row r="3375" spans="2:6">
      <c r="B3375" s="8"/>
      <c r="C3375" s="8"/>
      <c r="D3375" s="8"/>
      <c r="E3375" s="39"/>
      <c r="F3375" s="40"/>
    </row>
    <row r="3376" spans="2:6">
      <c r="B3376" s="8"/>
      <c r="C3376" s="8"/>
      <c r="D3376" s="8"/>
      <c r="E3376" s="39"/>
      <c r="F3376" s="40"/>
    </row>
    <row r="3377" spans="2:6">
      <c r="B3377" s="8"/>
      <c r="C3377" s="8"/>
      <c r="D3377" s="8"/>
      <c r="E3377" s="39"/>
      <c r="F3377" s="40"/>
    </row>
    <row r="3378" spans="2:6">
      <c r="B3378" s="8"/>
      <c r="C3378" s="8"/>
      <c r="D3378" s="8"/>
      <c r="E3378" s="39"/>
      <c r="F3378" s="40"/>
    </row>
    <row r="3379" spans="2:6">
      <c r="B3379" s="8"/>
      <c r="C3379" s="8"/>
      <c r="D3379" s="8"/>
      <c r="E3379" s="39"/>
      <c r="F3379" s="40"/>
    </row>
    <row r="3380" spans="2:6">
      <c r="B3380" s="8"/>
      <c r="C3380" s="8"/>
      <c r="D3380" s="8"/>
      <c r="E3380" s="39"/>
      <c r="F3380" s="40"/>
    </row>
    <row r="3381" spans="2:6">
      <c r="B3381" s="8"/>
      <c r="C3381" s="8"/>
      <c r="D3381" s="8"/>
      <c r="E3381" s="39"/>
      <c r="F3381" s="40"/>
    </row>
    <row r="3382" spans="2:6">
      <c r="B3382" s="8"/>
      <c r="C3382" s="8"/>
      <c r="D3382" s="8"/>
      <c r="E3382" s="39"/>
      <c r="F3382" s="40"/>
    </row>
    <row r="3383" spans="2:6">
      <c r="B3383" s="8"/>
      <c r="C3383" s="8"/>
      <c r="D3383" s="8"/>
      <c r="E3383" s="39"/>
      <c r="F3383" s="40"/>
    </row>
    <row r="3384" spans="2:6">
      <c r="B3384" s="8"/>
      <c r="C3384" s="8"/>
      <c r="D3384" s="8"/>
      <c r="E3384" s="39"/>
      <c r="F3384" s="40"/>
    </row>
    <row r="3385" spans="2:6">
      <c r="B3385" s="8"/>
      <c r="C3385" s="8"/>
      <c r="D3385" s="8"/>
      <c r="E3385" s="39"/>
      <c r="F3385" s="40"/>
    </row>
    <row r="3386" spans="2:6">
      <c r="B3386" s="8"/>
      <c r="C3386" s="8"/>
      <c r="D3386" s="8"/>
      <c r="E3386" s="39"/>
      <c r="F3386" s="40"/>
    </row>
    <row r="3387" spans="2:6">
      <c r="B3387" s="8"/>
      <c r="C3387" s="8"/>
      <c r="D3387" s="8"/>
      <c r="E3387" s="39"/>
      <c r="F3387" s="40"/>
    </row>
    <row r="3388" spans="2:6">
      <c r="B3388" s="8"/>
      <c r="C3388" s="8"/>
      <c r="D3388" s="8"/>
      <c r="E3388" s="39"/>
      <c r="F3388" s="40"/>
    </row>
    <row r="3389" spans="2:6">
      <c r="B3389" s="8"/>
      <c r="C3389" s="8"/>
      <c r="D3389" s="8"/>
      <c r="E3389" s="39"/>
      <c r="F3389" s="40"/>
    </row>
    <row r="3390" spans="2:6">
      <c r="B3390" s="8"/>
      <c r="C3390" s="8"/>
      <c r="D3390" s="8"/>
      <c r="E3390" s="39"/>
      <c r="F3390" s="40"/>
    </row>
    <row r="3391" spans="2:6">
      <c r="B3391" s="8"/>
      <c r="C3391" s="8"/>
      <c r="D3391" s="8"/>
      <c r="E3391" s="39"/>
      <c r="F3391" s="40"/>
    </row>
    <row r="3392" spans="2:6">
      <c r="B3392" s="8"/>
      <c r="C3392" s="8"/>
      <c r="D3392" s="8"/>
      <c r="E3392" s="39"/>
      <c r="F3392" s="40"/>
    </row>
    <row r="3393" spans="2:6">
      <c r="B3393" s="8"/>
      <c r="C3393" s="8"/>
      <c r="D3393" s="8"/>
      <c r="E3393" s="39"/>
      <c r="F3393" s="40"/>
    </row>
    <row r="3394" spans="2:6">
      <c r="B3394" s="8"/>
      <c r="C3394" s="8"/>
      <c r="D3394" s="8"/>
      <c r="E3394" s="39"/>
      <c r="F3394" s="40"/>
    </row>
    <row r="3395" spans="2:6">
      <c r="B3395" s="8"/>
      <c r="C3395" s="8"/>
      <c r="D3395" s="8"/>
      <c r="E3395" s="39"/>
      <c r="F3395" s="40"/>
    </row>
    <row r="3396" spans="2:6">
      <c r="B3396" s="8"/>
      <c r="C3396" s="8"/>
      <c r="D3396" s="8"/>
      <c r="E3396" s="39"/>
      <c r="F3396" s="40"/>
    </row>
    <row r="3397" spans="2:6">
      <c r="B3397" s="8"/>
      <c r="C3397" s="8"/>
      <c r="D3397" s="8"/>
      <c r="E3397" s="39"/>
      <c r="F3397" s="40"/>
    </row>
    <row r="3398" spans="2:6">
      <c r="B3398" s="8"/>
      <c r="C3398" s="8"/>
      <c r="D3398" s="8"/>
      <c r="E3398" s="39"/>
      <c r="F3398" s="40"/>
    </row>
    <row r="3399" spans="2:6">
      <c r="B3399" s="8"/>
      <c r="C3399" s="8"/>
      <c r="D3399" s="8"/>
      <c r="E3399" s="39"/>
      <c r="F3399" s="40"/>
    </row>
    <row r="3400" spans="2:6">
      <c r="B3400" s="8"/>
      <c r="C3400" s="8"/>
      <c r="D3400" s="8"/>
      <c r="E3400" s="39"/>
      <c r="F3400" s="40"/>
    </row>
    <row r="3401" spans="2:6">
      <c r="B3401" s="8"/>
      <c r="C3401" s="8"/>
      <c r="D3401" s="8"/>
      <c r="E3401" s="39"/>
      <c r="F3401" s="40"/>
    </row>
    <row r="3402" spans="2:6">
      <c r="B3402" s="8"/>
      <c r="C3402" s="8"/>
      <c r="D3402" s="8"/>
      <c r="E3402" s="39"/>
      <c r="F3402" s="40"/>
    </row>
    <row r="3403" spans="2:6">
      <c r="B3403" s="8"/>
      <c r="C3403" s="8"/>
      <c r="D3403" s="8"/>
      <c r="E3403" s="39"/>
      <c r="F3403" s="40"/>
    </row>
    <row r="3404" spans="2:6">
      <c r="B3404" s="8"/>
      <c r="C3404" s="8"/>
      <c r="D3404" s="8"/>
      <c r="E3404" s="39"/>
      <c r="F3404" s="40"/>
    </row>
    <row r="3405" spans="2:6">
      <c r="B3405" s="8"/>
      <c r="C3405" s="8"/>
      <c r="D3405" s="8"/>
      <c r="E3405" s="39"/>
      <c r="F3405" s="40"/>
    </row>
    <row r="3406" spans="2:6">
      <c r="B3406" s="8"/>
      <c r="C3406" s="8"/>
      <c r="D3406" s="8"/>
      <c r="E3406" s="39"/>
      <c r="F3406" s="40"/>
    </row>
    <row r="3407" spans="2:6">
      <c r="B3407" s="8"/>
      <c r="C3407" s="8"/>
      <c r="D3407" s="8"/>
      <c r="E3407" s="39"/>
      <c r="F3407" s="40"/>
    </row>
    <row r="3408" spans="2:6">
      <c r="B3408" s="8"/>
      <c r="C3408" s="8"/>
      <c r="D3408" s="8"/>
      <c r="E3408" s="39"/>
      <c r="F3408" s="40"/>
    </row>
    <row r="3409" spans="2:6">
      <c r="B3409" s="8"/>
      <c r="C3409" s="8"/>
      <c r="D3409" s="8"/>
      <c r="E3409" s="39"/>
      <c r="F3409" s="40"/>
    </row>
    <row r="3410" spans="2:6">
      <c r="B3410" s="8"/>
      <c r="C3410" s="8"/>
      <c r="D3410" s="8"/>
      <c r="E3410" s="39"/>
      <c r="F3410" s="40"/>
    </row>
    <row r="3411" spans="2:6">
      <c r="B3411" s="8"/>
      <c r="C3411" s="8"/>
      <c r="D3411" s="8"/>
      <c r="E3411" s="39"/>
      <c r="F3411" s="40"/>
    </row>
    <row r="3412" spans="2:6">
      <c r="B3412" s="8"/>
      <c r="C3412" s="8"/>
      <c r="D3412" s="8"/>
      <c r="E3412" s="39"/>
      <c r="F3412" s="40"/>
    </row>
    <row r="3413" spans="2:6">
      <c r="B3413" s="8"/>
      <c r="C3413" s="8"/>
      <c r="D3413" s="8"/>
      <c r="E3413" s="39"/>
      <c r="F3413" s="40"/>
    </row>
    <row r="3414" spans="2:6">
      <c r="B3414" s="8"/>
      <c r="C3414" s="8"/>
      <c r="D3414" s="8"/>
      <c r="E3414" s="39"/>
      <c r="F3414" s="40"/>
    </row>
    <row r="3415" spans="2:6">
      <c r="B3415" s="8"/>
      <c r="C3415" s="8"/>
      <c r="D3415" s="8"/>
      <c r="E3415" s="39"/>
      <c r="F3415" s="40"/>
    </row>
    <row r="3416" spans="2:6">
      <c r="B3416" s="8"/>
      <c r="C3416" s="8"/>
      <c r="D3416" s="8"/>
      <c r="E3416" s="39"/>
      <c r="F3416" s="40"/>
    </row>
    <row r="3417" spans="2:6">
      <c r="B3417" s="8"/>
      <c r="C3417" s="8"/>
      <c r="D3417" s="8"/>
      <c r="E3417" s="39"/>
      <c r="F3417" s="40"/>
    </row>
    <row r="3418" spans="2:6">
      <c r="B3418" s="8"/>
      <c r="C3418" s="8"/>
      <c r="D3418" s="8"/>
      <c r="E3418" s="39"/>
      <c r="F3418" s="40"/>
    </row>
    <row r="3419" spans="2:6">
      <c r="B3419" s="8"/>
      <c r="C3419" s="8"/>
      <c r="D3419" s="8"/>
      <c r="E3419" s="39"/>
      <c r="F3419" s="40"/>
    </row>
    <row r="3420" spans="2:6">
      <c r="B3420" s="8"/>
      <c r="C3420" s="8"/>
      <c r="D3420" s="8"/>
      <c r="E3420" s="39"/>
      <c r="F3420" s="40"/>
    </row>
    <row r="3421" spans="2:6">
      <c r="B3421" s="8"/>
      <c r="C3421" s="8"/>
      <c r="D3421" s="8"/>
      <c r="E3421" s="39"/>
      <c r="F3421" s="40"/>
    </row>
    <row r="3422" spans="2:6">
      <c r="B3422" s="8"/>
      <c r="C3422" s="8"/>
      <c r="D3422" s="8"/>
      <c r="E3422" s="39"/>
      <c r="F3422" s="40"/>
    </row>
    <row r="3423" spans="2:6">
      <c r="B3423" s="8"/>
      <c r="C3423" s="8"/>
      <c r="D3423" s="8"/>
      <c r="E3423" s="39"/>
      <c r="F3423" s="40"/>
    </row>
    <row r="3424" spans="2:6">
      <c r="B3424" s="8"/>
      <c r="C3424" s="8"/>
      <c r="D3424" s="8"/>
      <c r="E3424" s="39"/>
      <c r="F3424" s="40"/>
    </row>
    <row r="3425" spans="2:6">
      <c r="B3425" s="8"/>
      <c r="C3425" s="8"/>
      <c r="D3425" s="8"/>
      <c r="E3425" s="39"/>
      <c r="F3425" s="40"/>
    </row>
    <row r="3426" spans="2:6">
      <c r="B3426" s="8"/>
      <c r="C3426" s="8"/>
      <c r="D3426" s="8"/>
      <c r="E3426" s="39"/>
      <c r="F3426" s="40"/>
    </row>
    <row r="3427" spans="2:6">
      <c r="B3427" s="8"/>
      <c r="C3427" s="8"/>
      <c r="D3427" s="8"/>
      <c r="E3427" s="39"/>
      <c r="F3427" s="40"/>
    </row>
    <row r="3428" spans="2:6">
      <c r="B3428" s="8"/>
      <c r="C3428" s="8"/>
      <c r="D3428" s="8"/>
      <c r="E3428" s="39"/>
      <c r="F3428" s="40"/>
    </row>
    <row r="3429" spans="2:6">
      <c r="B3429" s="8"/>
      <c r="C3429" s="8"/>
      <c r="D3429" s="8"/>
      <c r="E3429" s="39"/>
      <c r="F3429" s="40"/>
    </row>
    <row r="3430" spans="2:6">
      <c r="B3430" s="8"/>
      <c r="C3430" s="8"/>
      <c r="D3430" s="8"/>
      <c r="E3430" s="39"/>
      <c r="F3430" s="40"/>
    </row>
    <row r="3431" spans="2:6">
      <c r="B3431" s="8"/>
      <c r="C3431" s="8"/>
      <c r="D3431" s="8"/>
      <c r="E3431" s="39"/>
      <c r="F3431" s="40"/>
    </row>
    <row r="3432" spans="2:6">
      <c r="B3432" s="8"/>
      <c r="C3432" s="8"/>
      <c r="D3432" s="8"/>
      <c r="E3432" s="39"/>
      <c r="F3432" s="40"/>
    </row>
    <row r="3433" spans="2:6">
      <c r="B3433" s="8"/>
      <c r="C3433" s="8"/>
      <c r="D3433" s="8"/>
      <c r="E3433" s="39"/>
      <c r="F3433" s="40"/>
    </row>
    <row r="3434" spans="2:6">
      <c r="B3434" s="8"/>
      <c r="C3434" s="8"/>
      <c r="D3434" s="8"/>
      <c r="E3434" s="39"/>
      <c r="F3434" s="40"/>
    </row>
    <row r="3435" spans="2:6">
      <c r="B3435" s="8"/>
      <c r="C3435" s="8"/>
      <c r="D3435" s="8"/>
      <c r="E3435" s="39"/>
      <c r="F3435" s="40"/>
    </row>
    <row r="3436" spans="2:6">
      <c r="B3436" s="8"/>
      <c r="C3436" s="8"/>
      <c r="D3436" s="8"/>
      <c r="E3436" s="39"/>
      <c r="F3436" s="40"/>
    </row>
    <row r="3437" spans="2:6">
      <c r="B3437" s="8"/>
      <c r="C3437" s="8"/>
      <c r="D3437" s="8"/>
      <c r="E3437" s="39"/>
      <c r="F3437" s="40"/>
    </row>
    <row r="3438" spans="2:6">
      <c r="B3438" s="8"/>
      <c r="C3438" s="8"/>
      <c r="D3438" s="8"/>
      <c r="E3438" s="39"/>
      <c r="F3438" s="40"/>
    </row>
    <row r="3439" spans="2:6">
      <c r="B3439" s="8"/>
      <c r="C3439" s="8"/>
      <c r="D3439" s="8"/>
      <c r="E3439" s="39"/>
      <c r="F3439" s="40"/>
    </row>
    <row r="3440" spans="2:6">
      <c r="B3440" s="8"/>
      <c r="C3440" s="8"/>
      <c r="D3440" s="8"/>
      <c r="E3440" s="39"/>
      <c r="F3440" s="40"/>
    </row>
    <row r="3441" spans="2:6">
      <c r="B3441" s="8"/>
      <c r="C3441" s="8"/>
      <c r="D3441" s="8"/>
      <c r="E3441" s="39"/>
      <c r="F3441" s="40"/>
    </row>
    <row r="3442" spans="2:6">
      <c r="B3442" s="8"/>
      <c r="C3442" s="8"/>
      <c r="D3442" s="8"/>
      <c r="E3442" s="39"/>
      <c r="F3442" s="40"/>
    </row>
    <row r="3443" spans="2:6">
      <c r="B3443" s="8"/>
      <c r="C3443" s="8"/>
      <c r="D3443" s="8"/>
      <c r="E3443" s="39"/>
      <c r="F3443" s="40"/>
    </row>
    <row r="3444" spans="2:6">
      <c r="B3444" s="8"/>
      <c r="C3444" s="8"/>
      <c r="D3444" s="8"/>
      <c r="E3444" s="39"/>
      <c r="F3444" s="40"/>
    </row>
    <row r="3445" spans="2:6">
      <c r="B3445" s="8"/>
      <c r="C3445" s="8"/>
      <c r="D3445" s="8"/>
      <c r="E3445" s="39"/>
      <c r="F3445" s="40"/>
    </row>
    <row r="3446" spans="2:6">
      <c r="B3446" s="8"/>
      <c r="C3446" s="8"/>
      <c r="D3446" s="8"/>
      <c r="E3446" s="39"/>
      <c r="F3446" s="40"/>
    </row>
    <row r="3447" spans="2:6">
      <c r="B3447" s="8"/>
      <c r="C3447" s="8"/>
      <c r="D3447" s="8"/>
      <c r="E3447" s="39"/>
      <c r="F3447" s="40"/>
    </row>
    <row r="3448" spans="2:6">
      <c r="B3448" s="8"/>
      <c r="C3448" s="8"/>
      <c r="D3448" s="8"/>
      <c r="E3448" s="39"/>
      <c r="F3448" s="40"/>
    </row>
    <row r="3449" spans="2:6">
      <c r="B3449" s="8"/>
      <c r="C3449" s="8"/>
      <c r="D3449" s="8"/>
      <c r="E3449" s="39"/>
      <c r="F3449" s="40"/>
    </row>
    <row r="3450" spans="2:6">
      <c r="B3450" s="8"/>
      <c r="C3450" s="8"/>
      <c r="D3450" s="8"/>
      <c r="E3450" s="39"/>
      <c r="F3450" s="40"/>
    </row>
    <row r="3451" spans="2:6">
      <c r="B3451" s="8"/>
      <c r="C3451" s="8"/>
      <c r="D3451" s="8"/>
      <c r="E3451" s="39"/>
      <c r="F3451" s="40"/>
    </row>
    <row r="3452" spans="2:6">
      <c r="B3452" s="8"/>
      <c r="C3452" s="8"/>
      <c r="D3452" s="8"/>
      <c r="E3452" s="39"/>
      <c r="F3452" s="40"/>
    </row>
    <row r="3453" spans="2:6">
      <c r="B3453" s="8"/>
      <c r="C3453" s="8"/>
      <c r="D3453" s="8"/>
      <c r="E3453" s="39"/>
      <c r="F3453" s="40"/>
    </row>
    <row r="3454" spans="2:6">
      <c r="B3454" s="8"/>
      <c r="C3454" s="8"/>
      <c r="D3454" s="8"/>
      <c r="E3454" s="39"/>
      <c r="F3454" s="40"/>
    </row>
    <row r="3455" spans="2:6">
      <c r="B3455" s="8"/>
      <c r="C3455" s="8"/>
      <c r="D3455" s="8"/>
      <c r="E3455" s="39"/>
      <c r="F3455" s="40"/>
    </row>
    <row r="3456" spans="2:6">
      <c r="B3456" s="8"/>
      <c r="C3456" s="8"/>
      <c r="D3456" s="8"/>
      <c r="E3456" s="39"/>
      <c r="F3456" s="40"/>
    </row>
    <row r="3457" spans="2:6">
      <c r="B3457" s="8"/>
      <c r="C3457" s="8"/>
      <c r="D3457" s="8"/>
      <c r="E3457" s="39"/>
      <c r="F3457" s="40"/>
    </row>
    <row r="3458" spans="2:6">
      <c r="B3458" s="8"/>
      <c r="C3458" s="8"/>
      <c r="D3458" s="8"/>
      <c r="E3458" s="39"/>
      <c r="F3458" s="40"/>
    </row>
    <row r="3459" spans="2:6">
      <c r="B3459" s="8"/>
      <c r="C3459" s="8"/>
      <c r="D3459" s="8"/>
      <c r="E3459" s="39"/>
      <c r="F3459" s="40"/>
    </row>
    <row r="3460" spans="2:6">
      <c r="B3460" s="8"/>
      <c r="C3460" s="8"/>
      <c r="D3460" s="8"/>
      <c r="E3460" s="39"/>
      <c r="F3460" s="40"/>
    </row>
    <row r="3461" spans="2:6">
      <c r="B3461" s="8"/>
      <c r="C3461" s="8"/>
      <c r="D3461" s="8"/>
      <c r="E3461" s="39"/>
      <c r="F3461" s="40"/>
    </row>
    <row r="3462" spans="2:6">
      <c r="B3462" s="8"/>
      <c r="C3462" s="8"/>
      <c r="D3462" s="8"/>
      <c r="E3462" s="39"/>
      <c r="F3462" s="40"/>
    </row>
    <row r="3463" spans="2:6">
      <c r="B3463" s="8"/>
      <c r="C3463" s="8"/>
      <c r="D3463" s="8"/>
      <c r="E3463" s="39"/>
      <c r="F3463" s="40"/>
    </row>
    <row r="3464" spans="2:6">
      <c r="B3464" s="8"/>
      <c r="C3464" s="8"/>
      <c r="D3464" s="8"/>
      <c r="E3464" s="39"/>
      <c r="F3464" s="40"/>
    </row>
    <row r="3465" spans="2:6">
      <c r="B3465" s="8"/>
      <c r="C3465" s="8"/>
      <c r="D3465" s="8"/>
      <c r="E3465" s="39"/>
      <c r="F3465" s="40"/>
    </row>
    <row r="3466" spans="2:6">
      <c r="B3466" s="8"/>
      <c r="C3466" s="8"/>
      <c r="D3466" s="8"/>
      <c r="E3466" s="39"/>
      <c r="F3466" s="40"/>
    </row>
    <row r="3467" spans="2:6">
      <c r="B3467" s="8"/>
      <c r="C3467" s="8"/>
      <c r="D3467" s="8"/>
      <c r="E3467" s="39"/>
      <c r="F3467" s="40"/>
    </row>
    <row r="3468" spans="2:6">
      <c r="B3468" s="8"/>
      <c r="C3468" s="8"/>
      <c r="D3468" s="8"/>
      <c r="E3468" s="39"/>
      <c r="F3468" s="40"/>
    </row>
    <row r="3469" spans="2:6">
      <c r="B3469" s="8"/>
      <c r="C3469" s="8"/>
      <c r="D3469" s="8"/>
      <c r="E3469" s="39"/>
      <c r="F3469" s="40"/>
    </row>
    <row r="3470" spans="2:6">
      <c r="B3470" s="8"/>
      <c r="C3470" s="8"/>
      <c r="D3470" s="8"/>
      <c r="E3470" s="39"/>
      <c r="F3470" s="40"/>
    </row>
    <row r="3471" spans="2:6">
      <c r="B3471" s="8"/>
      <c r="C3471" s="8"/>
      <c r="D3471" s="8"/>
      <c r="E3471" s="39"/>
      <c r="F3471" s="40"/>
    </row>
    <row r="3472" spans="2:6">
      <c r="B3472" s="8"/>
      <c r="C3472" s="8"/>
      <c r="D3472" s="8"/>
      <c r="E3472" s="39"/>
      <c r="F3472" s="40"/>
    </row>
    <row r="3473" spans="2:6">
      <c r="B3473" s="8"/>
      <c r="C3473" s="8"/>
      <c r="D3473" s="8"/>
      <c r="E3473" s="39"/>
      <c r="F3473" s="40"/>
    </row>
    <row r="3474" spans="2:6">
      <c r="B3474" s="8"/>
      <c r="C3474" s="8"/>
      <c r="D3474" s="8"/>
      <c r="E3474" s="39"/>
      <c r="F3474" s="40"/>
    </row>
    <row r="3475" spans="2:6">
      <c r="B3475" s="8"/>
      <c r="C3475" s="8"/>
      <c r="D3475" s="8"/>
      <c r="E3475" s="39"/>
      <c r="F3475" s="40"/>
    </row>
    <row r="3476" spans="2:6">
      <c r="B3476" s="8"/>
      <c r="C3476" s="8"/>
      <c r="D3476" s="8"/>
      <c r="E3476" s="39"/>
      <c r="F3476" s="40"/>
    </row>
    <row r="3477" spans="2:6">
      <c r="B3477" s="8"/>
      <c r="C3477" s="8"/>
      <c r="D3477" s="8"/>
      <c r="E3477" s="39"/>
      <c r="F3477" s="40"/>
    </row>
    <row r="3478" spans="2:6">
      <c r="B3478" s="8"/>
      <c r="C3478" s="8"/>
      <c r="D3478" s="8"/>
      <c r="E3478" s="39"/>
      <c r="F3478" s="40"/>
    </row>
    <row r="3479" spans="2:6">
      <c r="B3479" s="8"/>
      <c r="C3479" s="8"/>
      <c r="D3479" s="8"/>
      <c r="E3479" s="39"/>
      <c r="F3479" s="40"/>
    </row>
    <row r="3480" spans="2:6">
      <c r="B3480" s="8"/>
      <c r="C3480" s="8"/>
      <c r="D3480" s="8"/>
      <c r="E3480" s="39"/>
      <c r="F3480" s="40"/>
    </row>
    <row r="3481" spans="2:6">
      <c r="B3481" s="8"/>
      <c r="C3481" s="8"/>
      <c r="D3481" s="8"/>
      <c r="E3481" s="39"/>
      <c r="F3481" s="40"/>
    </row>
    <row r="3482" spans="2:6">
      <c r="B3482" s="8"/>
      <c r="C3482" s="8"/>
      <c r="D3482" s="8"/>
      <c r="E3482" s="39"/>
      <c r="F3482" s="40"/>
    </row>
    <row r="3483" spans="2:6">
      <c r="B3483" s="8"/>
      <c r="C3483" s="8"/>
      <c r="D3483" s="8"/>
      <c r="E3483" s="39"/>
      <c r="F3483" s="40"/>
    </row>
    <row r="3484" spans="2:6">
      <c r="B3484" s="8"/>
      <c r="C3484" s="8"/>
      <c r="D3484" s="8"/>
      <c r="E3484" s="39"/>
      <c r="F3484" s="40"/>
    </row>
    <row r="3485" spans="2:6">
      <c r="B3485" s="8"/>
      <c r="C3485" s="8"/>
      <c r="D3485" s="8"/>
      <c r="E3485" s="39"/>
      <c r="F3485" s="40"/>
    </row>
    <row r="3486" spans="2:6">
      <c r="B3486" s="8"/>
      <c r="C3486" s="8"/>
      <c r="D3486" s="8"/>
      <c r="E3486" s="39"/>
      <c r="F3486" s="40"/>
    </row>
    <row r="3487" spans="2:6">
      <c r="B3487" s="8"/>
      <c r="C3487" s="8"/>
      <c r="D3487" s="8"/>
      <c r="E3487" s="39"/>
      <c r="F3487" s="40"/>
    </row>
    <row r="3488" spans="2:6">
      <c r="B3488" s="8"/>
      <c r="C3488" s="8"/>
      <c r="D3488" s="8"/>
      <c r="E3488" s="39"/>
      <c r="F3488" s="40"/>
    </row>
    <row r="3489" spans="2:6">
      <c r="B3489" s="8"/>
      <c r="C3489" s="8"/>
      <c r="D3489" s="8"/>
      <c r="E3489" s="39"/>
      <c r="F3489" s="40"/>
    </row>
    <row r="3490" spans="2:6">
      <c r="B3490" s="8"/>
      <c r="C3490" s="8"/>
      <c r="D3490" s="8"/>
      <c r="E3490" s="39"/>
      <c r="F3490" s="40"/>
    </row>
    <row r="3491" spans="2:6">
      <c r="B3491" s="8"/>
      <c r="C3491" s="8"/>
      <c r="D3491" s="8"/>
      <c r="E3491" s="39"/>
      <c r="F3491" s="40"/>
    </row>
    <row r="3492" spans="2:6">
      <c r="B3492" s="8"/>
      <c r="C3492" s="8"/>
      <c r="D3492" s="8"/>
      <c r="E3492" s="39"/>
      <c r="F3492" s="40"/>
    </row>
    <row r="3493" spans="2:6">
      <c r="B3493" s="8"/>
      <c r="C3493" s="8"/>
      <c r="D3493" s="8"/>
      <c r="E3493" s="39"/>
      <c r="F3493" s="40"/>
    </row>
    <row r="3494" spans="2:6">
      <c r="B3494" s="8"/>
      <c r="C3494" s="8"/>
      <c r="D3494" s="8"/>
      <c r="E3494" s="39"/>
      <c r="F3494" s="40"/>
    </row>
    <row r="3495" spans="2:6">
      <c r="B3495" s="8"/>
      <c r="C3495" s="8"/>
      <c r="D3495" s="8"/>
      <c r="E3495" s="39"/>
      <c r="F3495" s="40"/>
    </row>
    <row r="3496" spans="2:6">
      <c r="B3496" s="8"/>
      <c r="C3496" s="8"/>
      <c r="D3496" s="8"/>
      <c r="E3496" s="39"/>
      <c r="F3496" s="40"/>
    </row>
    <row r="3497" spans="2:6">
      <c r="B3497" s="8"/>
      <c r="C3497" s="8"/>
      <c r="D3497" s="8"/>
      <c r="E3497" s="39"/>
      <c r="F3497" s="40"/>
    </row>
    <row r="3498" spans="2:6">
      <c r="B3498" s="8"/>
      <c r="C3498" s="8"/>
      <c r="D3498" s="8"/>
      <c r="E3498" s="39"/>
      <c r="F3498" s="40"/>
    </row>
    <row r="3499" spans="2:6">
      <c r="B3499" s="8"/>
      <c r="C3499" s="8"/>
      <c r="D3499" s="8"/>
      <c r="E3499" s="39"/>
      <c r="F3499" s="40"/>
    </row>
    <row r="3500" spans="2:6">
      <c r="B3500" s="8"/>
      <c r="C3500" s="8"/>
      <c r="D3500" s="8"/>
      <c r="E3500" s="39"/>
      <c r="F3500" s="40"/>
    </row>
    <row r="3501" spans="2:6">
      <c r="B3501" s="8"/>
      <c r="C3501" s="8"/>
      <c r="D3501" s="8"/>
      <c r="E3501" s="39"/>
      <c r="F3501" s="40"/>
    </row>
    <row r="3502" spans="2:6">
      <c r="B3502" s="8"/>
      <c r="C3502" s="8"/>
      <c r="D3502" s="8"/>
      <c r="E3502" s="39"/>
      <c r="F3502" s="40"/>
    </row>
    <row r="3503" spans="2:6">
      <c r="B3503" s="8"/>
      <c r="C3503" s="8"/>
      <c r="D3503" s="8"/>
      <c r="E3503" s="39"/>
      <c r="F3503" s="40"/>
    </row>
    <row r="3504" spans="2:6">
      <c r="B3504" s="8"/>
      <c r="C3504" s="8"/>
      <c r="D3504" s="8"/>
      <c r="E3504" s="39"/>
      <c r="F3504" s="40"/>
    </row>
    <row r="3505" spans="2:6">
      <c r="B3505" s="8"/>
      <c r="C3505" s="8"/>
      <c r="D3505" s="8"/>
      <c r="E3505" s="39"/>
      <c r="F3505" s="40"/>
    </row>
    <row r="3506" spans="2:6">
      <c r="B3506" s="8"/>
      <c r="C3506" s="8"/>
      <c r="D3506" s="8"/>
      <c r="E3506" s="39"/>
      <c r="F3506" s="40"/>
    </row>
    <row r="3507" spans="2:6">
      <c r="B3507" s="8"/>
      <c r="C3507" s="8"/>
      <c r="D3507" s="8"/>
      <c r="E3507" s="39"/>
      <c r="F3507" s="40"/>
    </row>
    <row r="3508" spans="2:6">
      <c r="B3508" s="8"/>
      <c r="C3508" s="8"/>
      <c r="D3508" s="8"/>
      <c r="E3508" s="39"/>
      <c r="F3508" s="40"/>
    </row>
    <row r="3509" spans="2:6">
      <c r="B3509" s="8"/>
      <c r="C3509" s="8"/>
      <c r="D3509" s="8"/>
      <c r="E3509" s="39"/>
      <c r="F3509" s="40"/>
    </row>
    <row r="3510" spans="2:6">
      <c r="B3510" s="8"/>
      <c r="C3510" s="8"/>
      <c r="D3510" s="8"/>
      <c r="E3510" s="39"/>
      <c r="F3510" s="40"/>
    </row>
    <row r="3511" spans="2:6">
      <c r="B3511" s="8"/>
      <c r="C3511" s="8"/>
      <c r="D3511" s="8"/>
      <c r="E3511" s="39"/>
      <c r="F3511" s="40"/>
    </row>
    <row r="3512" spans="2:6">
      <c r="B3512" s="8"/>
      <c r="C3512" s="8"/>
      <c r="D3512" s="8"/>
      <c r="E3512" s="39"/>
      <c r="F3512" s="40"/>
    </row>
    <row r="3513" spans="2:6">
      <c r="B3513" s="8"/>
      <c r="C3513" s="8"/>
      <c r="D3513" s="8"/>
      <c r="E3513" s="39"/>
      <c r="F3513" s="40"/>
    </row>
    <row r="3514" spans="2:6">
      <c r="B3514" s="8"/>
      <c r="C3514" s="8"/>
      <c r="D3514" s="8"/>
      <c r="E3514" s="39"/>
      <c r="F3514" s="40"/>
    </row>
    <row r="3515" spans="2:6">
      <c r="B3515" s="8"/>
      <c r="C3515" s="8"/>
      <c r="D3515" s="8"/>
      <c r="E3515" s="39"/>
      <c r="F3515" s="40"/>
    </row>
    <row r="3516" spans="2:6">
      <c r="B3516" s="8"/>
      <c r="C3516" s="8"/>
      <c r="D3516" s="8"/>
      <c r="E3516" s="39"/>
      <c r="F3516" s="40"/>
    </row>
    <row r="3517" spans="2:6">
      <c r="B3517" s="8"/>
      <c r="C3517" s="8"/>
      <c r="D3517" s="8"/>
      <c r="E3517" s="39"/>
      <c r="F3517" s="40"/>
    </row>
    <row r="3518" spans="2:6">
      <c r="B3518" s="8"/>
      <c r="C3518" s="8"/>
      <c r="D3518" s="8"/>
      <c r="E3518" s="39"/>
      <c r="F3518" s="40"/>
    </row>
    <row r="3519" spans="2:6">
      <c r="B3519" s="8"/>
      <c r="C3519" s="8"/>
      <c r="D3519" s="8"/>
      <c r="E3519" s="39"/>
      <c r="F3519" s="40"/>
    </row>
    <row r="3520" spans="2:6">
      <c r="B3520" s="8"/>
      <c r="C3520" s="8"/>
      <c r="D3520" s="8"/>
      <c r="E3520" s="39"/>
      <c r="F3520" s="40"/>
    </row>
    <row r="3521" spans="2:6">
      <c r="B3521" s="8"/>
      <c r="C3521" s="8"/>
      <c r="D3521" s="8"/>
      <c r="E3521" s="39"/>
      <c r="F3521" s="40"/>
    </row>
    <row r="3522" spans="2:6">
      <c r="B3522" s="8"/>
      <c r="C3522" s="8"/>
      <c r="D3522" s="8"/>
      <c r="E3522" s="39"/>
      <c r="F3522" s="40"/>
    </row>
    <row r="3523" spans="2:6">
      <c r="B3523" s="8"/>
      <c r="C3523" s="8"/>
      <c r="D3523" s="8"/>
      <c r="E3523" s="39"/>
      <c r="F3523" s="40"/>
    </row>
    <row r="3524" spans="2:6">
      <c r="B3524" s="8"/>
      <c r="C3524" s="8"/>
      <c r="D3524" s="8"/>
      <c r="E3524" s="39"/>
      <c r="F3524" s="40"/>
    </row>
    <row r="3525" spans="2:6">
      <c r="B3525" s="8"/>
      <c r="C3525" s="8"/>
      <c r="D3525" s="8"/>
      <c r="E3525" s="39"/>
      <c r="F3525" s="40"/>
    </row>
    <row r="3526" spans="2:6">
      <c r="B3526" s="8"/>
      <c r="C3526" s="8"/>
      <c r="D3526" s="8"/>
      <c r="E3526" s="39"/>
      <c r="F3526" s="40"/>
    </row>
    <row r="3527" spans="2:6">
      <c r="B3527" s="8"/>
      <c r="C3527" s="8"/>
      <c r="D3527" s="8"/>
      <c r="E3527" s="39"/>
      <c r="F3527" s="40"/>
    </row>
    <row r="3528" spans="2:6">
      <c r="B3528" s="8"/>
      <c r="C3528" s="8"/>
      <c r="D3528" s="8"/>
      <c r="E3528" s="39"/>
      <c r="F3528" s="40"/>
    </row>
    <row r="3529" spans="2:6">
      <c r="B3529" s="8"/>
      <c r="C3529" s="8"/>
      <c r="D3529" s="8"/>
      <c r="E3529" s="39"/>
      <c r="F3529" s="40"/>
    </row>
    <row r="3530" spans="2:6">
      <c r="B3530" s="8"/>
      <c r="C3530" s="8"/>
      <c r="D3530" s="8"/>
      <c r="E3530" s="39"/>
      <c r="F3530" s="40"/>
    </row>
    <row r="3531" spans="2:6">
      <c r="B3531" s="8"/>
      <c r="C3531" s="8"/>
      <c r="D3531" s="8"/>
      <c r="E3531" s="39"/>
      <c r="F3531" s="40"/>
    </row>
    <row r="3532" spans="2:6">
      <c r="B3532" s="8"/>
      <c r="C3532" s="8"/>
      <c r="D3532" s="8"/>
      <c r="E3532" s="39"/>
      <c r="F3532" s="40"/>
    </row>
    <row r="3533" spans="2:6">
      <c r="B3533" s="8"/>
      <c r="C3533" s="8"/>
      <c r="D3533" s="8"/>
      <c r="E3533" s="39"/>
      <c r="F3533" s="40"/>
    </row>
    <row r="3534" spans="2:6">
      <c r="B3534" s="8"/>
      <c r="C3534" s="8"/>
      <c r="D3534" s="8"/>
      <c r="E3534" s="39"/>
      <c r="F3534" s="40"/>
    </row>
    <row r="3535" spans="2:6">
      <c r="B3535" s="8"/>
      <c r="C3535" s="8"/>
      <c r="D3535" s="8"/>
      <c r="E3535" s="39"/>
      <c r="F3535" s="40"/>
    </row>
    <row r="3536" spans="2:6">
      <c r="B3536" s="8"/>
      <c r="C3536" s="8"/>
      <c r="D3536" s="8"/>
      <c r="E3536" s="39"/>
      <c r="F3536" s="40"/>
    </row>
    <row r="3537" spans="2:6">
      <c r="B3537" s="8"/>
      <c r="C3537" s="8"/>
      <c r="D3537" s="8"/>
      <c r="E3537" s="39"/>
      <c r="F3537" s="40"/>
    </row>
    <row r="3538" spans="2:6">
      <c r="B3538" s="8"/>
      <c r="C3538" s="8"/>
      <c r="D3538" s="8"/>
      <c r="E3538" s="39"/>
      <c r="F3538" s="40"/>
    </row>
    <row r="3539" spans="2:6">
      <c r="B3539" s="8"/>
      <c r="C3539" s="8"/>
      <c r="D3539" s="8"/>
      <c r="E3539" s="39"/>
      <c r="F3539" s="40"/>
    </row>
    <row r="3540" spans="2:6">
      <c r="B3540" s="8"/>
      <c r="C3540" s="8"/>
      <c r="D3540" s="8"/>
      <c r="E3540" s="39"/>
      <c r="F3540" s="40"/>
    </row>
    <row r="3541" spans="2:6">
      <c r="B3541" s="8"/>
      <c r="C3541" s="8"/>
      <c r="D3541" s="8"/>
      <c r="E3541" s="39"/>
      <c r="F3541" s="40"/>
    </row>
    <row r="3542" spans="2:6">
      <c r="B3542" s="8"/>
      <c r="C3542" s="8"/>
      <c r="D3542" s="8"/>
      <c r="E3542" s="39"/>
      <c r="F3542" s="40"/>
    </row>
    <row r="3543" spans="2:6">
      <c r="B3543" s="8"/>
      <c r="C3543" s="8"/>
      <c r="D3543" s="8"/>
      <c r="E3543" s="39"/>
      <c r="F3543" s="40"/>
    </row>
    <row r="3544" spans="2:6">
      <c r="B3544" s="8"/>
      <c r="C3544" s="8"/>
      <c r="D3544" s="8"/>
      <c r="E3544" s="39"/>
      <c r="F3544" s="40"/>
    </row>
    <row r="3545" spans="2:6">
      <c r="B3545" s="8"/>
      <c r="C3545" s="8"/>
      <c r="D3545" s="8"/>
      <c r="E3545" s="39"/>
      <c r="F3545" s="40"/>
    </row>
    <row r="3546" spans="2:6">
      <c r="B3546" s="8"/>
      <c r="C3546" s="8"/>
      <c r="D3546" s="8"/>
      <c r="E3546" s="39"/>
      <c r="F3546" s="40"/>
    </row>
    <row r="3547" spans="2:6">
      <c r="B3547" s="8"/>
      <c r="C3547" s="8"/>
      <c r="D3547" s="8"/>
      <c r="E3547" s="39"/>
      <c r="F3547" s="40"/>
    </row>
    <row r="3548" spans="2:6">
      <c r="B3548" s="8"/>
      <c r="C3548" s="8"/>
      <c r="D3548" s="8"/>
      <c r="E3548" s="39"/>
      <c r="F3548" s="40"/>
    </row>
    <row r="3549" spans="2:6">
      <c r="B3549" s="8"/>
      <c r="C3549" s="8"/>
      <c r="D3549" s="8"/>
      <c r="E3549" s="39"/>
      <c r="F3549" s="40"/>
    </row>
    <row r="3550" spans="2:6">
      <c r="B3550" s="8"/>
      <c r="C3550" s="8"/>
      <c r="D3550" s="8"/>
      <c r="E3550" s="39"/>
      <c r="F3550" s="40"/>
    </row>
    <row r="3551" spans="2:6">
      <c r="B3551" s="8"/>
      <c r="C3551" s="8"/>
      <c r="D3551" s="8"/>
      <c r="E3551" s="39"/>
      <c r="F3551" s="40"/>
    </row>
    <row r="3552" spans="2:6">
      <c r="B3552" s="8"/>
      <c r="C3552" s="8"/>
      <c r="D3552" s="8"/>
      <c r="E3552" s="39"/>
      <c r="F3552" s="40"/>
    </row>
    <row r="3553" spans="2:6">
      <c r="B3553" s="8"/>
      <c r="C3553" s="8"/>
      <c r="D3553" s="8"/>
      <c r="E3553" s="39"/>
      <c r="F3553" s="40"/>
    </row>
    <row r="3554" spans="2:6">
      <c r="B3554" s="8"/>
      <c r="C3554" s="8"/>
      <c r="D3554" s="8"/>
      <c r="E3554" s="39"/>
      <c r="F3554" s="40"/>
    </row>
    <row r="3555" spans="2:6">
      <c r="B3555" s="8"/>
      <c r="C3555" s="8"/>
      <c r="D3555" s="8"/>
      <c r="E3555" s="39"/>
      <c r="F3555" s="40"/>
    </row>
    <row r="3556" spans="2:6">
      <c r="B3556" s="8"/>
      <c r="C3556" s="8"/>
      <c r="D3556" s="8"/>
      <c r="E3556" s="39"/>
      <c r="F3556" s="40"/>
    </row>
    <row r="3557" spans="2:6">
      <c r="B3557" s="8"/>
      <c r="C3557" s="8"/>
      <c r="D3557" s="8"/>
      <c r="E3557" s="39"/>
      <c r="F3557" s="40"/>
    </row>
    <row r="3558" spans="2:6">
      <c r="B3558" s="8"/>
      <c r="C3558" s="8"/>
      <c r="D3558" s="8"/>
      <c r="E3558" s="39"/>
      <c r="F3558" s="40"/>
    </row>
    <row r="3559" spans="2:6">
      <c r="B3559" s="8"/>
      <c r="C3559" s="8"/>
      <c r="D3559" s="8"/>
      <c r="E3559" s="39"/>
      <c r="F3559" s="40"/>
    </row>
    <row r="3560" spans="2:6">
      <c r="B3560" s="8"/>
      <c r="C3560" s="8"/>
      <c r="D3560" s="8"/>
      <c r="E3560" s="39"/>
      <c r="F3560" s="40"/>
    </row>
    <row r="3561" spans="2:6">
      <c r="B3561" s="8"/>
      <c r="C3561" s="8"/>
      <c r="D3561" s="8"/>
      <c r="E3561" s="39"/>
      <c r="F3561" s="40"/>
    </row>
    <row r="3562" spans="2:6">
      <c r="B3562" s="8"/>
      <c r="C3562" s="8"/>
      <c r="D3562" s="8"/>
      <c r="E3562" s="39"/>
      <c r="F3562" s="40"/>
    </row>
    <row r="3563" spans="2:6">
      <c r="B3563" s="8"/>
      <c r="C3563" s="8"/>
      <c r="D3563" s="8"/>
      <c r="E3563" s="39"/>
      <c r="F3563" s="40"/>
    </row>
    <row r="3564" spans="2:6">
      <c r="B3564" s="8"/>
      <c r="C3564" s="8"/>
      <c r="D3564" s="8"/>
      <c r="E3564" s="39"/>
      <c r="F3564" s="40"/>
    </row>
    <row r="3565" spans="2:6">
      <c r="B3565" s="8"/>
      <c r="C3565" s="8"/>
      <c r="D3565" s="8"/>
      <c r="E3565" s="39"/>
      <c r="F3565" s="40"/>
    </row>
    <row r="3566" spans="2:6">
      <c r="B3566" s="8"/>
      <c r="C3566" s="8"/>
      <c r="D3566" s="8"/>
      <c r="E3566" s="39"/>
      <c r="F3566" s="40"/>
    </row>
    <row r="3567" spans="2:6">
      <c r="B3567" s="8"/>
      <c r="C3567" s="8"/>
      <c r="D3567" s="8"/>
      <c r="E3567" s="39"/>
      <c r="F3567" s="40"/>
    </row>
    <row r="3568" spans="2:6">
      <c r="B3568" s="8"/>
      <c r="C3568" s="8"/>
      <c r="D3568" s="8"/>
      <c r="E3568" s="39"/>
      <c r="F3568" s="40"/>
    </row>
    <row r="3569" spans="2:6">
      <c r="B3569" s="8"/>
      <c r="C3569" s="8"/>
      <c r="D3569" s="8"/>
      <c r="E3569" s="39"/>
      <c r="F3569" s="40"/>
    </row>
    <row r="3570" spans="2:6">
      <c r="B3570" s="8"/>
      <c r="C3570" s="8"/>
      <c r="D3570" s="8"/>
      <c r="E3570" s="39"/>
      <c r="F3570" s="40"/>
    </row>
    <row r="3571" spans="2:6">
      <c r="B3571" s="8"/>
      <c r="C3571" s="8"/>
      <c r="D3571" s="8"/>
      <c r="E3571" s="39"/>
      <c r="F3571" s="40"/>
    </row>
    <row r="3572" spans="2:6">
      <c r="B3572" s="8"/>
      <c r="C3572" s="8"/>
      <c r="D3572" s="8"/>
      <c r="E3572" s="39"/>
      <c r="F3572" s="40"/>
    </row>
    <row r="3573" spans="2:6">
      <c r="B3573" s="8"/>
      <c r="C3573" s="8"/>
      <c r="D3573" s="8"/>
      <c r="E3573" s="39"/>
      <c r="F3573" s="40"/>
    </row>
    <row r="3574" spans="2:6">
      <c r="B3574" s="8"/>
      <c r="C3574" s="8"/>
      <c r="D3574" s="8"/>
      <c r="E3574" s="39"/>
      <c r="F3574" s="40"/>
    </row>
    <row r="3575" spans="2:6">
      <c r="B3575" s="8"/>
      <c r="C3575" s="8"/>
      <c r="D3575" s="8"/>
      <c r="E3575" s="39"/>
      <c r="F3575" s="40"/>
    </row>
    <row r="3576" spans="2:6">
      <c r="B3576" s="8"/>
      <c r="C3576" s="8"/>
      <c r="D3576" s="8"/>
      <c r="E3576" s="39"/>
      <c r="F3576" s="40"/>
    </row>
    <row r="3577" spans="2:6">
      <c r="B3577" s="8"/>
      <c r="C3577" s="8"/>
      <c r="D3577" s="8"/>
      <c r="E3577" s="39"/>
      <c r="F3577" s="40"/>
    </row>
    <row r="3578" spans="2:6">
      <c r="B3578" s="8"/>
      <c r="C3578" s="8"/>
      <c r="D3578" s="8"/>
      <c r="E3578" s="39"/>
      <c r="F3578" s="40"/>
    </row>
    <row r="3579" spans="2:6">
      <c r="B3579" s="8"/>
      <c r="C3579" s="8"/>
      <c r="D3579" s="8"/>
      <c r="E3579" s="39"/>
      <c r="F3579" s="40"/>
    </row>
    <row r="3580" spans="2:6">
      <c r="B3580" s="8"/>
      <c r="C3580" s="8"/>
      <c r="D3580" s="8"/>
      <c r="E3580" s="39"/>
      <c r="F3580" s="40"/>
    </row>
    <row r="3581" spans="2:6">
      <c r="B3581" s="8"/>
      <c r="C3581" s="8"/>
      <c r="D3581" s="8"/>
      <c r="E3581" s="39"/>
      <c r="F3581" s="40"/>
    </row>
    <row r="3582" spans="2:6">
      <c r="B3582" s="8"/>
      <c r="C3582" s="8"/>
      <c r="D3582" s="8"/>
      <c r="E3582" s="39"/>
      <c r="F3582" s="40"/>
    </row>
    <row r="3583" spans="2:6">
      <c r="B3583" s="8"/>
      <c r="C3583" s="8"/>
      <c r="D3583" s="8"/>
      <c r="E3583" s="39"/>
      <c r="F3583" s="40"/>
    </row>
    <row r="3584" spans="2:6">
      <c r="B3584" s="8"/>
      <c r="C3584" s="8"/>
      <c r="D3584" s="8"/>
      <c r="E3584" s="39"/>
      <c r="F3584" s="40"/>
    </row>
    <row r="3585" spans="2:6">
      <c r="B3585" s="8"/>
      <c r="C3585" s="8"/>
      <c r="D3585" s="8"/>
      <c r="E3585" s="39"/>
      <c r="F3585" s="40"/>
    </row>
    <row r="3586" spans="2:6">
      <c r="B3586" s="8"/>
      <c r="C3586" s="8"/>
      <c r="D3586" s="8"/>
      <c r="E3586" s="39"/>
      <c r="F3586" s="40"/>
    </row>
    <row r="3587" spans="2:6">
      <c r="B3587" s="8"/>
      <c r="C3587" s="8"/>
      <c r="D3587" s="8"/>
      <c r="E3587" s="39"/>
      <c r="F3587" s="40"/>
    </row>
    <row r="3588" spans="2:6">
      <c r="B3588" s="8"/>
      <c r="C3588" s="8"/>
      <c r="D3588" s="8"/>
      <c r="E3588" s="39"/>
      <c r="F3588" s="40"/>
    </row>
    <row r="3589" spans="2:6">
      <c r="B3589" s="8"/>
      <c r="C3589" s="8"/>
      <c r="D3589" s="8"/>
      <c r="E3589" s="39"/>
      <c r="F3589" s="40"/>
    </row>
    <row r="3590" spans="2:6">
      <c r="B3590" s="8"/>
      <c r="C3590" s="8"/>
      <c r="D3590" s="8"/>
      <c r="E3590" s="39"/>
      <c r="F3590" s="40"/>
    </row>
    <row r="3591" spans="2:6">
      <c r="B3591" s="8"/>
      <c r="C3591" s="8"/>
      <c r="D3591" s="8"/>
      <c r="E3591" s="39"/>
      <c r="F3591" s="40"/>
    </row>
    <row r="3592" spans="2:6">
      <c r="B3592" s="8"/>
      <c r="C3592" s="8"/>
      <c r="D3592" s="8"/>
      <c r="E3592" s="39"/>
      <c r="F3592" s="40"/>
    </row>
    <row r="3593" spans="2:6">
      <c r="B3593" s="8"/>
      <c r="C3593" s="8"/>
      <c r="D3593" s="8"/>
      <c r="E3593" s="39"/>
      <c r="F3593" s="40"/>
    </row>
    <row r="3594" spans="2:6">
      <c r="B3594" s="8"/>
      <c r="C3594" s="8"/>
      <c r="D3594" s="8"/>
      <c r="E3594" s="39"/>
      <c r="F3594" s="40"/>
    </row>
    <row r="3595" spans="2:6">
      <c r="B3595" s="8"/>
      <c r="C3595" s="8"/>
      <c r="D3595" s="8"/>
      <c r="E3595" s="39"/>
      <c r="F3595" s="40"/>
    </row>
    <row r="3596" spans="2:6">
      <c r="B3596" s="8"/>
      <c r="C3596" s="8"/>
      <c r="D3596" s="8"/>
      <c r="E3596" s="39"/>
      <c r="F3596" s="40"/>
    </row>
    <row r="3597" spans="2:6">
      <c r="B3597" s="8"/>
      <c r="C3597" s="8"/>
      <c r="D3597" s="8"/>
      <c r="E3597" s="39"/>
      <c r="F3597" s="40"/>
    </row>
    <row r="3598" spans="2:6">
      <c r="B3598" s="8"/>
      <c r="C3598" s="8"/>
      <c r="D3598" s="8"/>
      <c r="E3598" s="39"/>
      <c r="F3598" s="40"/>
    </row>
    <row r="3599" spans="2:6">
      <c r="B3599" s="8"/>
      <c r="C3599" s="8"/>
      <c r="D3599" s="8"/>
      <c r="E3599" s="39"/>
      <c r="F3599" s="40"/>
    </row>
    <row r="3600" spans="2:6">
      <c r="B3600" s="8"/>
      <c r="C3600" s="8"/>
      <c r="D3600" s="8"/>
      <c r="E3600" s="39"/>
      <c r="F3600" s="40"/>
    </row>
    <row r="3601" spans="2:6">
      <c r="B3601" s="8"/>
      <c r="C3601" s="8"/>
      <c r="D3601" s="8"/>
      <c r="E3601" s="39"/>
      <c r="F3601" s="40"/>
    </row>
    <row r="3602" spans="2:6">
      <c r="B3602" s="8"/>
      <c r="C3602" s="8"/>
      <c r="D3602" s="8"/>
      <c r="E3602" s="39"/>
      <c r="F3602" s="40"/>
    </row>
    <row r="3603" spans="2:6">
      <c r="B3603" s="8"/>
      <c r="C3603" s="8"/>
      <c r="D3603" s="8"/>
      <c r="E3603" s="39"/>
      <c r="F3603" s="40"/>
    </row>
    <row r="3604" spans="2:6">
      <c r="B3604" s="8"/>
      <c r="C3604" s="8"/>
      <c r="D3604" s="8"/>
      <c r="E3604" s="39"/>
      <c r="F3604" s="40"/>
    </row>
    <row r="3605" spans="2:6">
      <c r="B3605" s="8"/>
      <c r="C3605" s="8"/>
      <c r="D3605" s="8"/>
      <c r="E3605" s="39"/>
      <c r="F3605" s="40"/>
    </row>
    <row r="3606" spans="2:6">
      <c r="B3606" s="8"/>
      <c r="C3606" s="8"/>
      <c r="D3606" s="8"/>
      <c r="E3606" s="39"/>
      <c r="F3606" s="40"/>
    </row>
    <row r="3607" spans="2:6">
      <c r="B3607" s="8"/>
      <c r="C3607" s="8"/>
      <c r="D3607" s="8"/>
      <c r="E3607" s="39"/>
      <c r="F3607" s="40"/>
    </row>
    <row r="3608" spans="2:6">
      <c r="B3608" s="8"/>
      <c r="C3608" s="8"/>
      <c r="D3608" s="8"/>
      <c r="E3608" s="39"/>
      <c r="F3608" s="40"/>
    </row>
    <row r="3609" spans="2:6">
      <c r="B3609" s="8"/>
      <c r="C3609" s="8"/>
      <c r="D3609" s="8"/>
      <c r="E3609" s="39"/>
      <c r="F3609" s="40"/>
    </row>
    <row r="3610" spans="2:6">
      <c r="B3610" s="8"/>
      <c r="C3610" s="8"/>
      <c r="D3610" s="8"/>
      <c r="E3610" s="39"/>
      <c r="F3610" s="40"/>
    </row>
    <row r="3611" spans="2:6">
      <c r="B3611" s="8"/>
      <c r="C3611" s="8"/>
      <c r="D3611" s="8"/>
      <c r="E3611" s="39"/>
      <c r="F3611" s="40"/>
    </row>
    <row r="3612" spans="2:6">
      <c r="B3612" s="8"/>
      <c r="C3612" s="8"/>
      <c r="D3612" s="8"/>
      <c r="E3612" s="39"/>
      <c r="F3612" s="40"/>
    </row>
    <row r="3613" spans="2:6">
      <c r="B3613" s="8"/>
      <c r="C3613" s="8"/>
      <c r="D3613" s="8"/>
      <c r="E3613" s="39"/>
      <c r="F3613" s="40"/>
    </row>
    <row r="3614" spans="2:6">
      <c r="B3614" s="8"/>
      <c r="C3614" s="8"/>
      <c r="D3614" s="8"/>
      <c r="E3614" s="39"/>
      <c r="F3614" s="40"/>
    </row>
    <row r="3615" spans="2:6">
      <c r="B3615" s="8"/>
      <c r="C3615" s="8"/>
      <c r="D3615" s="8"/>
      <c r="E3615" s="39"/>
      <c r="F3615" s="40"/>
    </row>
    <row r="3616" spans="2:6">
      <c r="B3616" s="8"/>
      <c r="C3616" s="8"/>
      <c r="D3616" s="8"/>
      <c r="E3616" s="39"/>
      <c r="F3616" s="40"/>
    </row>
    <row r="3617" spans="2:6">
      <c r="B3617" s="8"/>
      <c r="C3617" s="8"/>
      <c r="D3617" s="8"/>
      <c r="E3617" s="39"/>
      <c r="F3617" s="40"/>
    </row>
    <row r="3618" spans="2:6">
      <c r="B3618" s="8"/>
      <c r="C3618" s="8"/>
      <c r="D3618" s="8"/>
      <c r="E3618" s="39"/>
      <c r="F3618" s="40"/>
    </row>
    <row r="3619" spans="2:6">
      <c r="B3619" s="8"/>
      <c r="C3619" s="8"/>
      <c r="D3619" s="8"/>
      <c r="E3619" s="39"/>
      <c r="F3619" s="40"/>
    </row>
    <row r="3620" spans="2:6">
      <c r="B3620" s="8"/>
      <c r="C3620" s="8"/>
      <c r="D3620" s="8"/>
      <c r="E3620" s="39"/>
      <c r="F3620" s="40"/>
    </row>
    <row r="3621" spans="2:6">
      <c r="B3621" s="8"/>
      <c r="C3621" s="8"/>
      <c r="D3621" s="8"/>
      <c r="E3621" s="39"/>
      <c r="F3621" s="40"/>
    </row>
    <row r="3622" spans="2:6">
      <c r="B3622" s="8"/>
      <c r="C3622" s="8"/>
      <c r="D3622" s="8"/>
      <c r="E3622" s="39"/>
      <c r="F3622" s="40"/>
    </row>
    <row r="3623" spans="2:6">
      <c r="B3623" s="8"/>
      <c r="C3623" s="8"/>
      <c r="D3623" s="8"/>
      <c r="E3623" s="39"/>
      <c r="F3623" s="40"/>
    </row>
    <row r="3624" spans="2:6">
      <c r="B3624" s="8"/>
      <c r="C3624" s="8"/>
      <c r="D3624" s="8"/>
      <c r="E3624" s="39"/>
      <c r="F3624" s="40"/>
    </row>
    <row r="3625" spans="2:6">
      <c r="B3625" s="8"/>
      <c r="C3625" s="8"/>
      <c r="D3625" s="8"/>
      <c r="E3625" s="39"/>
      <c r="F3625" s="40"/>
    </row>
    <row r="3626" spans="2:6">
      <c r="B3626" s="8"/>
      <c r="C3626" s="8"/>
      <c r="D3626" s="8"/>
      <c r="E3626" s="39"/>
      <c r="F3626" s="40"/>
    </row>
    <row r="3627" spans="2:6">
      <c r="B3627" s="8"/>
      <c r="C3627" s="8"/>
      <c r="D3627" s="8"/>
      <c r="E3627" s="39"/>
      <c r="F3627" s="40"/>
    </row>
    <row r="3628" spans="2:6">
      <c r="B3628" s="8"/>
      <c r="C3628" s="8"/>
      <c r="D3628" s="8"/>
      <c r="E3628" s="39"/>
      <c r="F3628" s="40"/>
    </row>
    <row r="3629" spans="2:6">
      <c r="B3629" s="8"/>
      <c r="C3629" s="8"/>
      <c r="D3629" s="8"/>
      <c r="E3629" s="39"/>
      <c r="F3629" s="40"/>
    </row>
    <row r="3630" spans="2:6">
      <c r="B3630" s="8"/>
      <c r="C3630" s="8"/>
      <c r="D3630" s="8"/>
      <c r="E3630" s="39"/>
      <c r="F3630" s="40"/>
    </row>
    <row r="3631" spans="2:6">
      <c r="B3631" s="8"/>
      <c r="C3631" s="8"/>
      <c r="D3631" s="8"/>
      <c r="E3631" s="39"/>
      <c r="F3631" s="40"/>
    </row>
    <row r="3632" spans="2:6">
      <c r="B3632" s="8"/>
      <c r="C3632" s="8"/>
      <c r="D3632" s="8"/>
      <c r="E3632" s="39"/>
      <c r="F3632" s="40"/>
    </row>
    <row r="3633" spans="2:6">
      <c r="B3633" s="8"/>
      <c r="C3633" s="8"/>
      <c r="D3633" s="8"/>
      <c r="E3633" s="39"/>
      <c r="F3633" s="40"/>
    </row>
    <row r="3634" spans="2:6">
      <c r="B3634" s="8"/>
      <c r="C3634" s="8"/>
      <c r="D3634" s="8"/>
      <c r="E3634" s="39"/>
      <c r="F3634" s="40"/>
    </row>
    <row r="3635" spans="2:6">
      <c r="B3635" s="8"/>
      <c r="C3635" s="8"/>
      <c r="D3635" s="8"/>
      <c r="E3635" s="39"/>
      <c r="F3635" s="40"/>
    </row>
    <row r="3636" spans="2:6">
      <c r="B3636" s="8"/>
      <c r="C3636" s="8"/>
      <c r="D3636" s="8"/>
      <c r="E3636" s="39"/>
      <c r="F3636" s="40"/>
    </row>
    <row r="3637" spans="2:6">
      <c r="B3637" s="8"/>
      <c r="C3637" s="8"/>
      <c r="D3637" s="8"/>
      <c r="E3637" s="39"/>
      <c r="F3637" s="40"/>
    </row>
    <row r="3638" spans="2:6">
      <c r="B3638" s="8"/>
      <c r="C3638" s="8"/>
      <c r="D3638" s="8"/>
      <c r="E3638" s="39"/>
      <c r="F3638" s="40"/>
    </row>
    <row r="3639" spans="2:6">
      <c r="B3639" s="8"/>
      <c r="C3639" s="8"/>
      <c r="D3639" s="8"/>
      <c r="E3639" s="39"/>
      <c r="F3639" s="40"/>
    </row>
    <row r="3640" spans="2:6">
      <c r="B3640" s="8"/>
      <c r="C3640" s="8"/>
      <c r="D3640" s="8"/>
      <c r="E3640" s="39"/>
      <c r="F3640" s="40"/>
    </row>
    <row r="3641" spans="2:6">
      <c r="B3641" s="8"/>
      <c r="C3641" s="8"/>
      <c r="D3641" s="8"/>
      <c r="E3641" s="39"/>
      <c r="F3641" s="40"/>
    </row>
    <row r="3642" spans="2:6">
      <c r="B3642" s="8"/>
      <c r="C3642" s="8"/>
      <c r="D3642" s="8"/>
      <c r="E3642" s="39"/>
      <c r="F3642" s="40"/>
    </row>
    <row r="3643" spans="2:6">
      <c r="B3643" s="8"/>
      <c r="C3643" s="8"/>
      <c r="D3643" s="8"/>
      <c r="E3643" s="39"/>
      <c r="F3643" s="40"/>
    </row>
    <row r="3644" spans="2:6">
      <c r="B3644" s="8"/>
      <c r="C3644" s="8"/>
      <c r="D3644" s="8"/>
      <c r="E3644" s="39"/>
      <c r="F3644" s="40"/>
    </row>
    <row r="3645" spans="2:6">
      <c r="B3645" s="8"/>
      <c r="C3645" s="8"/>
      <c r="D3645" s="8"/>
      <c r="E3645" s="39"/>
      <c r="F3645" s="40"/>
    </row>
    <row r="3646" spans="2:6">
      <c r="B3646" s="8"/>
      <c r="C3646" s="8"/>
      <c r="D3646" s="8"/>
      <c r="E3646" s="39"/>
      <c r="F3646" s="40"/>
    </row>
    <row r="3647" spans="2:6">
      <c r="B3647" s="8"/>
      <c r="C3647" s="8"/>
      <c r="D3647" s="8"/>
      <c r="E3647" s="39"/>
      <c r="F3647" s="40"/>
    </row>
    <row r="3648" spans="2:6">
      <c r="B3648" s="8"/>
      <c r="C3648" s="8"/>
      <c r="D3648" s="8"/>
      <c r="E3648" s="39"/>
      <c r="F3648" s="40"/>
    </row>
    <row r="3649" spans="2:6">
      <c r="B3649" s="8"/>
      <c r="C3649" s="8"/>
      <c r="D3649" s="8"/>
      <c r="E3649" s="39"/>
      <c r="F3649" s="40"/>
    </row>
    <row r="3650" spans="2:6">
      <c r="B3650" s="8"/>
      <c r="C3650" s="8"/>
      <c r="D3650" s="8"/>
      <c r="E3650" s="39"/>
      <c r="F3650" s="40"/>
    </row>
    <row r="3651" spans="2:6">
      <c r="B3651" s="8"/>
      <c r="C3651" s="8"/>
      <c r="D3651" s="8"/>
      <c r="E3651" s="39"/>
      <c r="F3651" s="40"/>
    </row>
    <row r="3652" spans="2:6">
      <c r="B3652" s="8"/>
      <c r="C3652" s="8"/>
      <c r="D3652" s="8"/>
      <c r="E3652" s="39"/>
      <c r="F3652" s="40"/>
    </row>
    <row r="3653" spans="2:6">
      <c r="B3653" s="8"/>
      <c r="C3653" s="8"/>
      <c r="D3653" s="8"/>
      <c r="E3653" s="39"/>
      <c r="F3653" s="40"/>
    </row>
    <row r="3654" spans="2:6">
      <c r="B3654" s="8"/>
      <c r="C3654" s="8"/>
      <c r="D3654" s="8"/>
      <c r="E3654" s="39"/>
      <c r="F3654" s="40"/>
    </row>
    <row r="3655" spans="2:6">
      <c r="B3655" s="8"/>
      <c r="C3655" s="8"/>
      <c r="D3655" s="8"/>
      <c r="E3655" s="39"/>
      <c r="F3655" s="40"/>
    </row>
    <row r="3656" spans="2:6">
      <c r="B3656" s="8"/>
      <c r="C3656" s="8"/>
      <c r="D3656" s="8"/>
      <c r="E3656" s="39"/>
      <c r="F3656" s="40"/>
    </row>
    <row r="3657" spans="2:6">
      <c r="B3657" s="8"/>
      <c r="C3657" s="8"/>
      <c r="D3657" s="8"/>
      <c r="E3657" s="39"/>
      <c r="F3657" s="40"/>
    </row>
    <row r="3658" spans="2:6">
      <c r="B3658" s="8"/>
      <c r="C3658" s="8"/>
      <c r="D3658" s="8"/>
      <c r="E3658" s="39"/>
      <c r="F3658" s="40"/>
    </row>
    <row r="3659" spans="2:6">
      <c r="B3659" s="8"/>
      <c r="C3659" s="8"/>
      <c r="D3659" s="8"/>
      <c r="E3659" s="39"/>
      <c r="F3659" s="40"/>
    </row>
    <row r="3660" spans="2:6">
      <c r="B3660" s="8"/>
      <c r="C3660" s="8"/>
      <c r="D3660" s="8"/>
      <c r="E3660" s="39"/>
      <c r="F3660" s="40"/>
    </row>
    <row r="3661" spans="2:6">
      <c r="B3661" s="8"/>
      <c r="C3661" s="8"/>
      <c r="D3661" s="8"/>
      <c r="E3661" s="39"/>
      <c r="F3661" s="40"/>
    </row>
    <row r="3662" spans="2:6">
      <c r="B3662" s="8"/>
      <c r="C3662" s="8"/>
      <c r="D3662" s="8"/>
      <c r="E3662" s="39"/>
      <c r="F3662" s="40"/>
    </row>
    <row r="3663" spans="2:6">
      <c r="B3663" s="8"/>
      <c r="C3663" s="8"/>
      <c r="D3663" s="8"/>
      <c r="E3663" s="39"/>
      <c r="F3663" s="40"/>
    </row>
    <row r="3664" spans="2:6">
      <c r="B3664" s="8"/>
      <c r="C3664" s="8"/>
      <c r="D3664" s="8"/>
      <c r="E3664" s="39"/>
      <c r="F3664" s="40"/>
    </row>
    <row r="3665" spans="2:6">
      <c r="B3665" s="8"/>
      <c r="C3665" s="8"/>
      <c r="D3665" s="8"/>
      <c r="E3665" s="39"/>
      <c r="F3665" s="40"/>
    </row>
    <row r="3666" spans="2:6">
      <c r="B3666" s="8"/>
      <c r="C3666" s="8"/>
      <c r="D3666" s="8"/>
      <c r="E3666" s="39"/>
      <c r="F3666" s="40"/>
    </row>
    <row r="3667" spans="2:6">
      <c r="B3667" s="8"/>
      <c r="C3667" s="8"/>
      <c r="D3667" s="8"/>
      <c r="E3667" s="39"/>
      <c r="F3667" s="40"/>
    </row>
    <row r="3668" spans="2:6">
      <c r="B3668" s="8"/>
      <c r="C3668" s="8"/>
      <c r="D3668" s="8"/>
      <c r="E3668" s="39"/>
      <c r="F3668" s="40"/>
    </row>
    <row r="3669" spans="2:6">
      <c r="B3669" s="8"/>
      <c r="C3669" s="8"/>
      <c r="D3669" s="8"/>
      <c r="E3669" s="39"/>
      <c r="F3669" s="40"/>
    </row>
    <row r="3670" spans="2:6">
      <c r="B3670" s="8"/>
      <c r="C3670" s="8"/>
      <c r="D3670" s="8"/>
      <c r="E3670" s="39"/>
      <c r="F3670" s="40"/>
    </row>
    <row r="3671" spans="2:6">
      <c r="B3671" s="8"/>
      <c r="C3671" s="8"/>
      <c r="D3671" s="8"/>
      <c r="E3671" s="39"/>
      <c r="F3671" s="40"/>
    </row>
    <row r="3672" spans="2:6">
      <c r="B3672" s="8"/>
      <c r="C3672" s="8"/>
      <c r="D3672" s="8"/>
      <c r="E3672" s="39"/>
      <c r="F3672" s="40"/>
    </row>
    <row r="3673" spans="2:6">
      <c r="B3673" s="8"/>
      <c r="C3673" s="8"/>
      <c r="D3673" s="8"/>
      <c r="E3673" s="39"/>
      <c r="F3673" s="40"/>
    </row>
    <row r="3674" spans="2:6">
      <c r="B3674" s="8"/>
      <c r="C3674" s="8"/>
      <c r="D3674" s="8"/>
      <c r="E3674" s="39"/>
      <c r="F3674" s="40"/>
    </row>
    <row r="3675" spans="2:6">
      <c r="B3675" s="8"/>
      <c r="C3675" s="8"/>
      <c r="D3675" s="8"/>
      <c r="E3675" s="39"/>
      <c r="F3675" s="40"/>
    </row>
    <row r="3676" spans="2:6">
      <c r="B3676" s="8"/>
      <c r="C3676" s="8"/>
      <c r="D3676" s="8"/>
      <c r="E3676" s="39"/>
      <c r="F3676" s="40"/>
    </row>
    <row r="3677" spans="2:6">
      <c r="B3677" s="8"/>
      <c r="C3677" s="8"/>
      <c r="D3677" s="8"/>
      <c r="E3677" s="39"/>
      <c r="F3677" s="40"/>
    </row>
    <row r="3678" spans="2:6">
      <c r="B3678" s="8"/>
      <c r="C3678" s="8"/>
      <c r="D3678" s="8"/>
      <c r="E3678" s="39"/>
      <c r="F3678" s="40"/>
    </row>
    <row r="3679" spans="2:6">
      <c r="B3679" s="8"/>
      <c r="C3679" s="8"/>
      <c r="D3679" s="8"/>
      <c r="E3679" s="39"/>
      <c r="F3679" s="40"/>
    </row>
    <row r="3680" spans="2:6">
      <c r="B3680" s="8"/>
      <c r="C3680" s="8"/>
      <c r="D3680" s="8"/>
      <c r="E3680" s="39"/>
      <c r="F3680" s="40"/>
    </row>
    <row r="3681" spans="2:6">
      <c r="B3681" s="8"/>
      <c r="C3681" s="8"/>
      <c r="D3681" s="8"/>
      <c r="E3681" s="39"/>
      <c r="F3681" s="40"/>
    </row>
    <row r="3682" spans="2:6">
      <c r="B3682" s="8"/>
      <c r="C3682" s="8"/>
      <c r="D3682" s="8"/>
      <c r="E3682" s="39"/>
      <c r="F3682" s="40"/>
    </row>
    <row r="3683" spans="2:6">
      <c r="B3683" s="8"/>
      <c r="C3683" s="8"/>
      <c r="D3683" s="8"/>
      <c r="E3683" s="39"/>
      <c r="F3683" s="40"/>
    </row>
    <row r="3684" spans="2:6">
      <c r="B3684" s="8"/>
      <c r="C3684" s="8"/>
      <c r="D3684" s="8"/>
      <c r="E3684" s="39"/>
      <c r="F3684" s="40"/>
    </row>
    <row r="3685" spans="2:6">
      <c r="B3685" s="8"/>
      <c r="C3685" s="8"/>
      <c r="D3685" s="8"/>
      <c r="E3685" s="39"/>
      <c r="F3685" s="40"/>
    </row>
    <row r="3686" spans="2:6">
      <c r="B3686" s="8"/>
      <c r="C3686" s="8"/>
      <c r="D3686" s="8"/>
      <c r="E3686" s="39"/>
      <c r="F3686" s="40"/>
    </row>
    <row r="3687" spans="2:6">
      <c r="B3687" s="8"/>
      <c r="C3687" s="8"/>
      <c r="D3687" s="8"/>
      <c r="E3687" s="39"/>
      <c r="F3687" s="40"/>
    </row>
    <row r="3688" spans="2:6">
      <c r="B3688" s="8"/>
      <c r="C3688" s="8"/>
      <c r="D3688" s="8"/>
      <c r="E3688" s="39"/>
      <c r="F3688" s="40"/>
    </row>
    <row r="3689" spans="2:6">
      <c r="B3689" s="8"/>
      <c r="C3689" s="8"/>
      <c r="D3689" s="8"/>
      <c r="E3689" s="39"/>
      <c r="F3689" s="40"/>
    </row>
    <row r="3690" spans="2:6">
      <c r="B3690" s="8"/>
      <c r="C3690" s="8"/>
      <c r="D3690" s="8"/>
      <c r="E3690" s="39"/>
      <c r="F3690" s="40"/>
    </row>
    <row r="3691" spans="2:6">
      <c r="B3691" s="8"/>
      <c r="C3691" s="8"/>
      <c r="D3691" s="8"/>
      <c r="E3691" s="39"/>
      <c r="F3691" s="40"/>
    </row>
    <row r="3692" spans="2:6">
      <c r="B3692" s="8"/>
      <c r="C3692" s="8"/>
      <c r="D3692" s="8"/>
      <c r="E3692" s="39"/>
      <c r="F3692" s="40"/>
    </row>
    <row r="3693" spans="2:6">
      <c r="B3693" s="8"/>
      <c r="C3693" s="8"/>
      <c r="D3693" s="8"/>
      <c r="E3693" s="39"/>
      <c r="F3693" s="40"/>
    </row>
    <row r="3694" spans="2:6">
      <c r="B3694" s="8"/>
      <c r="C3694" s="8"/>
      <c r="D3694" s="8"/>
      <c r="E3694" s="39"/>
      <c r="F3694" s="40"/>
    </row>
    <row r="3695" spans="2:6">
      <c r="B3695" s="8"/>
      <c r="C3695" s="8"/>
      <c r="D3695" s="8"/>
      <c r="E3695" s="39"/>
      <c r="F3695" s="40"/>
    </row>
    <row r="3696" spans="2:6">
      <c r="B3696" s="8"/>
      <c r="C3696" s="8"/>
      <c r="D3696" s="8"/>
      <c r="E3696" s="39"/>
      <c r="F3696" s="40"/>
    </row>
    <row r="3697" spans="2:6">
      <c r="B3697" s="8"/>
      <c r="C3697" s="8"/>
      <c r="D3697" s="8"/>
      <c r="E3697" s="39"/>
      <c r="F3697" s="40"/>
    </row>
    <row r="3698" spans="2:6">
      <c r="B3698" s="8"/>
      <c r="C3698" s="8"/>
      <c r="D3698" s="8"/>
      <c r="E3698" s="39"/>
      <c r="F3698" s="40"/>
    </row>
    <row r="3699" spans="2:6">
      <c r="B3699" s="8"/>
      <c r="C3699" s="8"/>
      <c r="D3699" s="8"/>
      <c r="E3699" s="39"/>
      <c r="F3699" s="40"/>
    </row>
    <row r="3700" spans="2:6">
      <c r="B3700" s="8"/>
      <c r="C3700" s="8"/>
      <c r="D3700" s="8"/>
      <c r="E3700" s="39"/>
      <c r="F3700" s="40"/>
    </row>
    <row r="3701" spans="2:6">
      <c r="B3701" s="8"/>
      <c r="C3701" s="8"/>
      <c r="D3701" s="8"/>
      <c r="E3701" s="39"/>
      <c r="F3701" s="40"/>
    </row>
    <row r="3702" spans="2:6">
      <c r="B3702" s="8"/>
      <c r="C3702" s="8"/>
      <c r="D3702" s="8"/>
      <c r="E3702" s="39"/>
      <c r="F3702" s="40"/>
    </row>
    <row r="3703" spans="2:6">
      <c r="B3703" s="8"/>
      <c r="C3703" s="8"/>
      <c r="D3703" s="8"/>
      <c r="E3703" s="39"/>
      <c r="F3703" s="40"/>
    </row>
    <row r="3704" spans="2:6">
      <c r="B3704" s="8"/>
      <c r="C3704" s="8"/>
      <c r="D3704" s="8"/>
      <c r="E3704" s="39"/>
      <c r="F3704" s="40"/>
    </row>
    <row r="3705" spans="2:6">
      <c r="B3705" s="8"/>
      <c r="C3705" s="8"/>
      <c r="D3705" s="8"/>
      <c r="E3705" s="39"/>
      <c r="F3705" s="40"/>
    </row>
    <row r="3706" spans="2:6">
      <c r="B3706" s="8"/>
      <c r="C3706" s="8"/>
      <c r="D3706" s="8"/>
      <c r="E3706" s="39"/>
      <c r="F3706" s="40"/>
    </row>
    <row r="3707" spans="2:6">
      <c r="B3707" s="8"/>
      <c r="C3707" s="8"/>
      <c r="D3707" s="8"/>
      <c r="E3707" s="39"/>
      <c r="F3707" s="40"/>
    </row>
    <row r="3708" spans="2:6">
      <c r="B3708" s="8"/>
      <c r="C3708" s="8"/>
      <c r="D3708" s="8"/>
      <c r="E3708" s="39"/>
      <c r="F3708" s="40"/>
    </row>
    <row r="3709" spans="2:6">
      <c r="B3709" s="8"/>
      <c r="C3709" s="8"/>
      <c r="D3709" s="8"/>
      <c r="E3709" s="39"/>
      <c r="F3709" s="40"/>
    </row>
    <row r="3710" spans="2:6">
      <c r="B3710" s="8"/>
      <c r="C3710" s="8"/>
      <c r="D3710" s="8"/>
      <c r="E3710" s="39"/>
      <c r="F3710" s="40"/>
    </row>
    <row r="3711" spans="2:6">
      <c r="B3711" s="8"/>
      <c r="C3711" s="8"/>
      <c r="D3711" s="8"/>
      <c r="E3711" s="39"/>
      <c r="F3711" s="40"/>
    </row>
    <row r="3712" spans="2:6">
      <c r="B3712" s="8"/>
      <c r="C3712" s="8"/>
      <c r="D3712" s="8"/>
      <c r="E3712" s="39"/>
      <c r="F3712" s="40"/>
    </row>
    <row r="3713" spans="2:6">
      <c r="B3713" s="8"/>
      <c r="C3713" s="8"/>
      <c r="D3713" s="8"/>
      <c r="E3713" s="39"/>
      <c r="F3713" s="40"/>
    </row>
    <row r="3714" spans="2:6">
      <c r="B3714" s="8"/>
      <c r="C3714" s="8"/>
      <c r="D3714" s="8"/>
      <c r="E3714" s="39"/>
      <c r="F3714" s="40"/>
    </row>
    <row r="3715" spans="2:6">
      <c r="B3715" s="8"/>
      <c r="C3715" s="8"/>
      <c r="D3715" s="8"/>
      <c r="E3715" s="39"/>
      <c r="F3715" s="40"/>
    </row>
    <row r="3716" spans="2:6">
      <c r="B3716" s="8"/>
      <c r="C3716" s="8"/>
      <c r="D3716" s="8"/>
      <c r="E3716" s="39"/>
      <c r="F3716" s="40"/>
    </row>
    <row r="3717" spans="2:6">
      <c r="B3717" s="8"/>
      <c r="C3717" s="8"/>
      <c r="D3717" s="8"/>
      <c r="E3717" s="39"/>
      <c r="F3717" s="40"/>
    </row>
    <row r="3718" spans="2:6">
      <c r="B3718" s="8"/>
      <c r="C3718" s="8"/>
      <c r="D3718" s="8"/>
      <c r="E3718" s="39"/>
      <c r="F3718" s="40"/>
    </row>
    <row r="3719" spans="2:6">
      <c r="B3719" s="8"/>
      <c r="C3719" s="8"/>
      <c r="D3719" s="8"/>
      <c r="E3719" s="39"/>
      <c r="F3719" s="40"/>
    </row>
    <row r="3720" spans="2:6">
      <c r="B3720" s="8"/>
      <c r="C3720" s="8"/>
      <c r="D3720" s="8"/>
      <c r="E3720" s="39"/>
      <c r="F3720" s="40"/>
    </row>
    <row r="3721" spans="2:6">
      <c r="B3721" s="8"/>
      <c r="C3721" s="8"/>
      <c r="D3721" s="8"/>
      <c r="E3721" s="39"/>
      <c r="F3721" s="40"/>
    </row>
    <row r="3722" spans="2:6">
      <c r="B3722" s="8"/>
      <c r="C3722" s="8"/>
      <c r="D3722" s="8"/>
      <c r="E3722" s="39"/>
      <c r="F3722" s="40"/>
    </row>
    <row r="3723" spans="2:6">
      <c r="B3723" s="8"/>
      <c r="C3723" s="8"/>
      <c r="D3723" s="8"/>
      <c r="E3723" s="39"/>
      <c r="F3723" s="40"/>
    </row>
    <row r="3724" spans="2:6">
      <c r="B3724" s="8"/>
      <c r="C3724" s="8"/>
      <c r="D3724" s="8"/>
      <c r="E3724" s="39"/>
      <c r="F3724" s="40"/>
    </row>
    <row r="3725" spans="2:6">
      <c r="B3725" s="8"/>
      <c r="C3725" s="8"/>
      <c r="D3725" s="8"/>
      <c r="E3725" s="39"/>
      <c r="F3725" s="40"/>
    </row>
    <row r="3726" spans="2:6">
      <c r="B3726" s="8"/>
      <c r="C3726" s="8"/>
      <c r="D3726" s="8"/>
      <c r="E3726" s="39"/>
      <c r="F3726" s="40"/>
    </row>
    <row r="3727" spans="2:6">
      <c r="B3727" s="8"/>
      <c r="C3727" s="8"/>
      <c r="D3727" s="8"/>
      <c r="E3727" s="39"/>
      <c r="F3727" s="40"/>
    </row>
    <row r="3728" spans="2:6">
      <c r="B3728" s="8"/>
      <c r="C3728" s="8"/>
      <c r="D3728" s="8"/>
      <c r="E3728" s="39"/>
      <c r="F3728" s="40"/>
    </row>
    <row r="3729" spans="2:6">
      <c r="B3729" s="8"/>
      <c r="C3729" s="8"/>
      <c r="D3729" s="8"/>
      <c r="E3729" s="39"/>
      <c r="F3729" s="40"/>
    </row>
    <row r="3730" spans="2:6">
      <c r="B3730" s="8"/>
      <c r="C3730" s="8"/>
      <c r="D3730" s="8"/>
      <c r="E3730" s="39"/>
      <c r="F3730" s="40"/>
    </row>
    <row r="3731" spans="2:6">
      <c r="B3731" s="8"/>
      <c r="C3731" s="8"/>
      <c r="D3731" s="8"/>
      <c r="E3731" s="39"/>
      <c r="F3731" s="40"/>
    </row>
    <row r="3732" spans="2:6">
      <c r="B3732" s="8"/>
      <c r="C3732" s="8"/>
      <c r="D3732" s="8"/>
      <c r="E3732" s="39"/>
      <c r="F3732" s="40"/>
    </row>
    <row r="3733" spans="2:6">
      <c r="B3733" s="8"/>
      <c r="C3733" s="8"/>
      <c r="D3733" s="8"/>
      <c r="E3733" s="39"/>
      <c r="F3733" s="40"/>
    </row>
    <row r="3734" spans="2:6">
      <c r="B3734" s="8"/>
      <c r="C3734" s="8"/>
      <c r="D3734" s="8"/>
      <c r="E3734" s="39"/>
      <c r="F3734" s="40"/>
    </row>
    <row r="3735" spans="2:6">
      <c r="B3735" s="8"/>
      <c r="C3735" s="8"/>
      <c r="D3735" s="8"/>
      <c r="E3735" s="39"/>
      <c r="F3735" s="40"/>
    </row>
    <row r="3736" spans="2:6">
      <c r="B3736" s="8"/>
      <c r="C3736" s="8"/>
      <c r="D3736" s="8"/>
      <c r="E3736" s="39"/>
      <c r="F3736" s="40"/>
    </row>
    <row r="3737" spans="2:6">
      <c r="B3737" s="8"/>
      <c r="C3737" s="8"/>
      <c r="D3737" s="8"/>
      <c r="E3737" s="39"/>
      <c r="F3737" s="40"/>
    </row>
    <row r="3738" spans="2:6">
      <c r="B3738" s="8"/>
      <c r="C3738" s="8"/>
      <c r="D3738" s="8"/>
      <c r="E3738" s="39"/>
      <c r="F3738" s="40"/>
    </row>
    <row r="3739" spans="2:6">
      <c r="B3739" s="8"/>
      <c r="C3739" s="8"/>
      <c r="D3739" s="8"/>
      <c r="E3739" s="39"/>
      <c r="F3739" s="40"/>
    </row>
    <row r="3740" spans="2:6">
      <c r="B3740" s="8"/>
      <c r="C3740" s="8"/>
      <c r="D3740" s="8"/>
      <c r="E3740" s="39"/>
      <c r="F3740" s="40"/>
    </row>
    <row r="3741" spans="2:6">
      <c r="B3741" s="8"/>
      <c r="C3741" s="8"/>
      <c r="D3741" s="8"/>
      <c r="E3741" s="39"/>
      <c r="F3741" s="40"/>
    </row>
    <row r="3742" spans="2:6">
      <c r="B3742" s="8"/>
      <c r="C3742" s="8"/>
      <c r="D3742" s="8"/>
      <c r="E3742" s="39"/>
      <c r="F3742" s="40"/>
    </row>
    <row r="3743" spans="2:6">
      <c r="B3743" s="8"/>
      <c r="C3743" s="8"/>
      <c r="D3743" s="8"/>
      <c r="E3743" s="39"/>
      <c r="F3743" s="40"/>
    </row>
    <row r="3744" spans="2:6">
      <c r="B3744" s="8"/>
      <c r="C3744" s="8"/>
      <c r="D3744" s="8"/>
      <c r="E3744" s="39"/>
      <c r="F3744" s="40"/>
    </row>
    <row r="3745" spans="2:6">
      <c r="B3745" s="8"/>
      <c r="C3745" s="8"/>
      <c r="D3745" s="8"/>
      <c r="E3745" s="39"/>
      <c r="F3745" s="40"/>
    </row>
    <row r="3746" spans="2:6">
      <c r="B3746" s="8"/>
      <c r="C3746" s="8"/>
      <c r="D3746" s="8"/>
      <c r="E3746" s="39"/>
      <c r="F3746" s="40"/>
    </row>
    <row r="3747" spans="2:6">
      <c r="B3747" s="8"/>
      <c r="C3747" s="8"/>
      <c r="D3747" s="8"/>
      <c r="E3747" s="39"/>
      <c r="F3747" s="40"/>
    </row>
    <row r="3748" spans="2:6">
      <c r="B3748" s="8"/>
      <c r="C3748" s="8"/>
      <c r="D3748" s="8"/>
      <c r="E3748" s="39"/>
      <c r="F3748" s="40"/>
    </row>
    <row r="3749" spans="2:6">
      <c r="B3749" s="8"/>
      <c r="C3749" s="8"/>
      <c r="D3749" s="8"/>
      <c r="E3749" s="39"/>
      <c r="F3749" s="40"/>
    </row>
    <row r="3750" spans="2:6">
      <c r="B3750" s="8"/>
      <c r="C3750" s="8"/>
      <c r="D3750" s="8"/>
      <c r="E3750" s="39"/>
      <c r="F3750" s="40"/>
    </row>
    <row r="3751" spans="2:6">
      <c r="B3751" s="8"/>
      <c r="C3751" s="8"/>
      <c r="D3751" s="8"/>
      <c r="E3751" s="39"/>
      <c r="F3751" s="40"/>
    </row>
    <row r="3752" spans="2:6">
      <c r="B3752" s="8"/>
      <c r="C3752" s="8"/>
      <c r="D3752" s="8"/>
      <c r="E3752" s="39"/>
      <c r="F3752" s="40"/>
    </row>
    <row r="3753" spans="2:6">
      <c r="B3753" s="8"/>
      <c r="C3753" s="8"/>
      <c r="D3753" s="8"/>
      <c r="E3753" s="39"/>
      <c r="F3753" s="40"/>
    </row>
    <row r="3754" spans="2:6">
      <c r="B3754" s="8"/>
      <c r="C3754" s="8"/>
      <c r="D3754" s="8"/>
      <c r="E3754" s="39"/>
      <c r="F3754" s="40"/>
    </row>
    <row r="3755" spans="2:6">
      <c r="B3755" s="8"/>
      <c r="C3755" s="8"/>
      <c r="D3755" s="8"/>
      <c r="E3755" s="39"/>
      <c r="F3755" s="40"/>
    </row>
    <row r="3756" spans="2:6">
      <c r="B3756" s="8"/>
      <c r="C3756" s="8"/>
      <c r="D3756" s="8"/>
      <c r="E3756" s="39"/>
      <c r="F3756" s="40"/>
    </row>
    <row r="3757" spans="2:6">
      <c r="B3757" s="8"/>
      <c r="C3757" s="8"/>
      <c r="D3757" s="8"/>
      <c r="E3757" s="39"/>
      <c r="F3757" s="40"/>
    </row>
    <row r="3758" spans="2:6">
      <c r="B3758" s="8"/>
      <c r="C3758" s="8"/>
      <c r="D3758" s="8"/>
      <c r="E3758" s="39"/>
      <c r="F3758" s="40"/>
    </row>
    <row r="3759" spans="2:6">
      <c r="B3759" s="8"/>
      <c r="C3759" s="8"/>
      <c r="D3759" s="8"/>
      <c r="E3759" s="39"/>
      <c r="F3759" s="40"/>
    </row>
    <row r="3760" spans="2:6">
      <c r="B3760" s="8"/>
      <c r="C3760" s="8"/>
      <c r="D3760" s="8"/>
      <c r="E3760" s="39"/>
      <c r="F3760" s="40"/>
    </row>
    <row r="3761" spans="2:6">
      <c r="B3761" s="8"/>
      <c r="C3761" s="8"/>
      <c r="D3761" s="8"/>
      <c r="E3761" s="39"/>
      <c r="F3761" s="40"/>
    </row>
    <row r="3762" spans="2:6">
      <c r="B3762" s="8"/>
      <c r="C3762" s="8"/>
      <c r="D3762" s="8"/>
      <c r="E3762" s="39"/>
      <c r="F3762" s="40"/>
    </row>
    <row r="3763" spans="2:6">
      <c r="B3763" s="8"/>
      <c r="C3763" s="8"/>
      <c r="D3763" s="8"/>
      <c r="E3763" s="39"/>
      <c r="F3763" s="40"/>
    </row>
    <row r="3764" spans="2:6">
      <c r="B3764" s="8"/>
      <c r="C3764" s="8"/>
      <c r="D3764" s="8"/>
      <c r="E3764" s="39"/>
      <c r="F3764" s="40"/>
    </row>
    <row r="3765" spans="2:6">
      <c r="B3765" s="8"/>
      <c r="C3765" s="8"/>
      <c r="D3765" s="8"/>
      <c r="E3765" s="39"/>
      <c r="F3765" s="40"/>
    </row>
    <row r="3766" spans="2:6">
      <c r="B3766" s="8"/>
      <c r="C3766" s="8"/>
      <c r="D3766" s="8"/>
      <c r="E3766" s="39"/>
      <c r="F3766" s="40"/>
    </row>
    <row r="3767" spans="2:6">
      <c r="B3767" s="8"/>
      <c r="C3767" s="8"/>
      <c r="D3767" s="8"/>
      <c r="E3767" s="39"/>
      <c r="F3767" s="40"/>
    </row>
    <row r="3768" spans="2:6">
      <c r="B3768" s="8"/>
      <c r="C3768" s="8"/>
      <c r="D3768" s="8"/>
      <c r="E3768" s="39"/>
      <c r="F3768" s="40"/>
    </row>
    <row r="3769" spans="2:6">
      <c r="B3769" s="8"/>
      <c r="C3769" s="8"/>
      <c r="D3769" s="8"/>
      <c r="E3769" s="39"/>
      <c r="F3769" s="40"/>
    </row>
    <row r="3770" spans="2:6">
      <c r="B3770" s="8"/>
      <c r="C3770" s="8"/>
      <c r="D3770" s="8"/>
      <c r="E3770" s="39"/>
      <c r="F3770" s="40"/>
    </row>
    <row r="3771" spans="2:6">
      <c r="B3771" s="8"/>
      <c r="C3771" s="8"/>
      <c r="D3771" s="8"/>
      <c r="E3771" s="39"/>
      <c r="F3771" s="40"/>
    </row>
    <row r="3772" spans="2:6">
      <c r="B3772" s="8"/>
      <c r="C3772" s="8"/>
      <c r="D3772" s="8"/>
      <c r="E3772" s="39"/>
      <c r="F3772" s="40"/>
    </row>
    <row r="3773" spans="2:6">
      <c r="B3773" s="8"/>
      <c r="C3773" s="8"/>
      <c r="D3773" s="8"/>
      <c r="E3773" s="39"/>
      <c r="F3773" s="40"/>
    </row>
    <row r="3774" spans="2:6">
      <c r="B3774" s="8"/>
      <c r="C3774" s="8"/>
      <c r="D3774" s="8"/>
      <c r="E3774" s="39"/>
      <c r="F3774" s="40"/>
    </row>
    <row r="3775" spans="2:6">
      <c r="B3775" s="8"/>
      <c r="C3775" s="8"/>
      <c r="D3775" s="8"/>
      <c r="E3775" s="39"/>
      <c r="F3775" s="40"/>
    </row>
    <row r="3776" spans="2:6">
      <c r="B3776" s="8"/>
      <c r="C3776" s="8"/>
      <c r="D3776" s="8"/>
      <c r="E3776" s="39"/>
      <c r="F3776" s="40"/>
    </row>
    <row r="3777" spans="2:6">
      <c r="B3777" s="8"/>
      <c r="C3777" s="8"/>
      <c r="D3777" s="8"/>
      <c r="E3777" s="39"/>
      <c r="F3777" s="40"/>
    </row>
    <row r="3778" spans="2:6">
      <c r="B3778" s="8"/>
      <c r="C3778" s="8"/>
      <c r="D3778" s="8"/>
      <c r="E3778" s="39"/>
      <c r="F3778" s="40"/>
    </row>
    <row r="3779" spans="2:6">
      <c r="B3779" s="8"/>
      <c r="C3779" s="8"/>
      <c r="D3779" s="8"/>
      <c r="E3779" s="39"/>
      <c r="F3779" s="40"/>
    </row>
    <row r="3780" spans="2:6">
      <c r="B3780" s="8"/>
      <c r="C3780" s="8"/>
      <c r="D3780" s="8"/>
      <c r="E3780" s="39"/>
      <c r="F3780" s="40"/>
    </row>
    <row r="3781" spans="2:6">
      <c r="B3781" s="8"/>
      <c r="C3781" s="8"/>
      <c r="D3781" s="8"/>
      <c r="E3781" s="39"/>
      <c r="F3781" s="40"/>
    </row>
    <row r="3782" spans="2:6">
      <c r="B3782" s="8"/>
      <c r="C3782" s="8"/>
      <c r="D3782" s="8"/>
      <c r="E3782" s="39"/>
      <c r="F3782" s="40"/>
    </row>
    <row r="3783" spans="2:6">
      <c r="B3783" s="8"/>
      <c r="C3783" s="8"/>
      <c r="D3783" s="8"/>
      <c r="E3783" s="39"/>
      <c r="F3783" s="40"/>
    </row>
    <row r="3784" spans="2:6">
      <c r="B3784" s="8"/>
      <c r="C3784" s="8"/>
      <c r="D3784" s="8"/>
      <c r="E3784" s="39"/>
      <c r="F3784" s="40"/>
    </row>
    <row r="3785" spans="2:6">
      <c r="B3785" s="8"/>
      <c r="C3785" s="8"/>
      <c r="D3785" s="8"/>
      <c r="E3785" s="39"/>
      <c r="F3785" s="40"/>
    </row>
    <row r="3786" spans="2:6">
      <c r="B3786" s="8"/>
      <c r="C3786" s="8"/>
      <c r="D3786" s="8"/>
      <c r="E3786" s="39"/>
      <c r="F3786" s="40"/>
    </row>
    <row r="3787" spans="2:6">
      <c r="B3787" s="8"/>
      <c r="C3787" s="8"/>
      <c r="D3787" s="8"/>
      <c r="E3787" s="39"/>
      <c r="F3787" s="40"/>
    </row>
    <row r="3788" spans="2:6">
      <c r="B3788" s="8"/>
      <c r="C3788" s="8"/>
      <c r="D3788" s="8"/>
      <c r="E3788" s="39"/>
      <c r="F3788" s="40"/>
    </row>
    <row r="3789" spans="2:6">
      <c r="B3789" s="8"/>
      <c r="C3789" s="8"/>
      <c r="D3789" s="8"/>
      <c r="E3789" s="39"/>
      <c r="F3789" s="40"/>
    </row>
    <row r="3790" spans="2:6">
      <c r="B3790" s="8"/>
      <c r="C3790" s="8"/>
      <c r="D3790" s="8"/>
      <c r="E3790" s="39"/>
      <c r="F3790" s="40"/>
    </row>
    <row r="3791" spans="2:6">
      <c r="B3791" s="8"/>
      <c r="C3791" s="8"/>
      <c r="D3791" s="8"/>
      <c r="E3791" s="39"/>
      <c r="F3791" s="40"/>
    </row>
    <row r="3792" spans="2:6">
      <c r="B3792" s="8"/>
      <c r="C3792" s="8"/>
      <c r="D3792" s="8"/>
      <c r="E3792" s="39"/>
      <c r="F3792" s="40"/>
    </row>
    <row r="3793" spans="2:6">
      <c r="B3793" s="8"/>
      <c r="C3793" s="8"/>
      <c r="D3793" s="8"/>
      <c r="E3793" s="39"/>
      <c r="F3793" s="40"/>
    </row>
    <row r="3794" spans="2:6">
      <c r="B3794" s="8"/>
      <c r="C3794" s="8"/>
      <c r="D3794" s="8"/>
      <c r="E3794" s="39"/>
      <c r="F3794" s="40"/>
    </row>
    <row r="3795" spans="2:6">
      <c r="B3795" s="8"/>
      <c r="C3795" s="8"/>
      <c r="D3795" s="8"/>
      <c r="E3795" s="39"/>
      <c r="F3795" s="40"/>
    </row>
    <row r="3796" spans="2:6">
      <c r="B3796" s="8"/>
      <c r="C3796" s="8"/>
      <c r="D3796" s="8"/>
      <c r="E3796" s="39"/>
      <c r="F3796" s="40"/>
    </row>
    <row r="3797" spans="2:6">
      <c r="B3797" s="8"/>
      <c r="C3797" s="8"/>
      <c r="D3797" s="8"/>
      <c r="E3797" s="39"/>
      <c r="F3797" s="40"/>
    </row>
    <row r="3798" spans="2:6">
      <c r="B3798" s="8"/>
      <c r="C3798" s="8"/>
      <c r="D3798" s="8"/>
      <c r="E3798" s="39"/>
      <c r="F3798" s="40"/>
    </row>
    <row r="3799" spans="2:6">
      <c r="B3799" s="8"/>
      <c r="C3799" s="8"/>
      <c r="D3799" s="8"/>
      <c r="E3799" s="39"/>
      <c r="F3799" s="40"/>
    </row>
    <row r="3800" spans="2:6">
      <c r="B3800" s="8"/>
      <c r="C3800" s="8"/>
      <c r="D3800" s="8"/>
      <c r="E3800" s="39"/>
      <c r="F3800" s="40"/>
    </row>
    <row r="3801" spans="2:6">
      <c r="B3801" s="8"/>
      <c r="C3801" s="8"/>
      <c r="D3801" s="8"/>
      <c r="E3801" s="39"/>
      <c r="F3801" s="40"/>
    </row>
    <row r="3802" spans="2:6">
      <c r="B3802" s="8"/>
      <c r="C3802" s="8"/>
      <c r="D3802" s="8"/>
      <c r="E3802" s="39"/>
      <c r="F3802" s="40"/>
    </row>
    <row r="3803" spans="2:6">
      <c r="B3803" s="8"/>
      <c r="C3803" s="8"/>
      <c r="D3803" s="8"/>
      <c r="E3803" s="39"/>
      <c r="F3803" s="40"/>
    </row>
    <row r="3804" spans="2:6">
      <c r="B3804" s="8"/>
      <c r="C3804" s="8"/>
      <c r="D3804" s="8"/>
      <c r="E3804" s="39"/>
      <c r="F3804" s="40"/>
    </row>
    <row r="3805" spans="2:6">
      <c r="B3805" s="8"/>
      <c r="C3805" s="8"/>
      <c r="D3805" s="8"/>
      <c r="E3805" s="39"/>
      <c r="F3805" s="40"/>
    </row>
    <row r="3806" spans="2:6">
      <c r="B3806" s="8"/>
      <c r="C3806" s="8"/>
      <c r="D3806" s="8"/>
      <c r="E3806" s="39"/>
      <c r="F3806" s="40"/>
    </row>
    <row r="3807" spans="2:6">
      <c r="B3807" s="8"/>
      <c r="C3807" s="8"/>
      <c r="D3807" s="8"/>
      <c r="E3807" s="39"/>
      <c r="F3807" s="40"/>
    </row>
    <row r="3808" spans="2:6">
      <c r="B3808" s="8"/>
      <c r="C3808" s="8"/>
      <c r="D3808" s="8"/>
      <c r="E3808" s="39"/>
      <c r="F3808" s="40"/>
    </row>
    <row r="3809" spans="2:6">
      <c r="B3809" s="8"/>
      <c r="C3809" s="8"/>
      <c r="D3809" s="8"/>
      <c r="E3809" s="39"/>
      <c r="F3809" s="40"/>
    </row>
    <row r="3810" spans="2:6">
      <c r="B3810" s="8"/>
      <c r="C3810" s="8"/>
      <c r="D3810" s="8"/>
      <c r="E3810" s="39"/>
      <c r="F3810" s="40"/>
    </row>
    <row r="3811" spans="2:6">
      <c r="B3811" s="8"/>
      <c r="C3811" s="8"/>
      <c r="D3811" s="8"/>
      <c r="E3811" s="39"/>
      <c r="F3811" s="40"/>
    </row>
    <row r="3812" spans="2:6">
      <c r="B3812" s="8"/>
      <c r="C3812" s="8"/>
      <c r="D3812" s="8"/>
      <c r="E3812" s="39"/>
      <c r="F3812" s="40"/>
    </row>
    <row r="3813" spans="2:6">
      <c r="B3813" s="8"/>
      <c r="C3813" s="8"/>
      <c r="D3813" s="8"/>
      <c r="E3813" s="39"/>
      <c r="F3813" s="40"/>
    </row>
    <row r="3814" spans="2:6">
      <c r="B3814" s="8"/>
      <c r="C3814" s="8"/>
      <c r="D3814" s="8"/>
      <c r="E3814" s="39"/>
      <c r="F3814" s="40"/>
    </row>
    <row r="3815" spans="2:6">
      <c r="B3815" s="8"/>
      <c r="C3815" s="8"/>
      <c r="D3815" s="8"/>
      <c r="E3815" s="39"/>
      <c r="F3815" s="40"/>
    </row>
    <row r="3816" spans="2:6">
      <c r="B3816" s="8"/>
      <c r="C3816" s="8"/>
      <c r="D3816" s="8"/>
      <c r="E3816" s="39"/>
      <c r="F3816" s="40"/>
    </row>
    <row r="3817" spans="2:6">
      <c r="B3817" s="8"/>
      <c r="C3817" s="8"/>
      <c r="D3817" s="8"/>
      <c r="E3817" s="39"/>
      <c r="F3817" s="40"/>
    </row>
    <row r="3818" spans="2:6">
      <c r="B3818" s="8"/>
      <c r="C3818" s="8"/>
      <c r="D3818" s="8"/>
      <c r="E3818" s="39"/>
      <c r="F3818" s="40"/>
    </row>
    <row r="3819" spans="2:6">
      <c r="B3819" s="8"/>
      <c r="C3819" s="8"/>
      <c r="D3819" s="8"/>
      <c r="E3819" s="39"/>
      <c r="F3819" s="40"/>
    </row>
    <row r="3820" spans="2:6">
      <c r="B3820" s="8"/>
      <c r="C3820" s="8"/>
      <c r="D3820" s="8"/>
      <c r="E3820" s="39"/>
      <c r="F3820" s="40"/>
    </row>
    <row r="3821" spans="2:6">
      <c r="B3821" s="8"/>
      <c r="C3821" s="8"/>
      <c r="D3821" s="8"/>
      <c r="E3821" s="39"/>
      <c r="F3821" s="40"/>
    </row>
    <row r="3822" spans="2:6">
      <c r="B3822" s="8"/>
      <c r="C3822" s="8"/>
      <c r="D3822" s="8"/>
      <c r="E3822" s="39"/>
      <c r="F3822" s="40"/>
    </row>
    <row r="3823" spans="2:6">
      <c r="B3823" s="8"/>
      <c r="C3823" s="8"/>
      <c r="D3823" s="8"/>
      <c r="E3823" s="39"/>
      <c r="F3823" s="40"/>
    </row>
    <row r="3824" spans="2:6">
      <c r="B3824" s="8"/>
      <c r="C3824" s="8"/>
      <c r="D3824" s="8"/>
      <c r="E3824" s="39"/>
      <c r="F3824" s="40"/>
    </row>
    <row r="3825" spans="2:6">
      <c r="B3825" s="8"/>
      <c r="C3825" s="8"/>
      <c r="D3825" s="8"/>
      <c r="E3825" s="39"/>
      <c r="F3825" s="40"/>
    </row>
    <row r="3826" spans="2:6">
      <c r="B3826" s="8"/>
      <c r="C3826" s="8"/>
      <c r="D3826" s="8"/>
      <c r="E3826" s="39"/>
      <c r="F3826" s="40"/>
    </row>
    <row r="3827" spans="2:6">
      <c r="B3827" s="8"/>
      <c r="C3827" s="8"/>
      <c r="D3827" s="8"/>
      <c r="E3827" s="39"/>
      <c r="F3827" s="40"/>
    </row>
    <row r="3828" spans="2:6">
      <c r="B3828" s="8"/>
      <c r="C3828" s="8"/>
      <c r="D3828" s="8"/>
      <c r="E3828" s="39"/>
      <c r="F3828" s="40"/>
    </row>
    <row r="3829" spans="2:6">
      <c r="B3829" s="8"/>
      <c r="C3829" s="8"/>
      <c r="D3829" s="8"/>
      <c r="E3829" s="39"/>
      <c r="F3829" s="40"/>
    </row>
    <row r="3830" spans="2:6">
      <c r="B3830" s="8"/>
      <c r="C3830" s="8"/>
      <c r="D3830" s="8"/>
      <c r="E3830" s="39"/>
      <c r="F3830" s="40"/>
    </row>
    <row r="3831" spans="2:6">
      <c r="B3831" s="8"/>
      <c r="C3831" s="8"/>
      <c r="D3831" s="8"/>
      <c r="E3831" s="39"/>
      <c r="F3831" s="40"/>
    </row>
    <row r="3832" spans="2:6">
      <c r="B3832" s="8"/>
      <c r="C3832" s="8"/>
      <c r="D3832" s="8"/>
      <c r="E3832" s="39"/>
      <c r="F3832" s="40"/>
    </row>
    <row r="3833" spans="2:6">
      <c r="B3833" s="8"/>
      <c r="C3833" s="8"/>
      <c r="D3833" s="8"/>
      <c r="E3833" s="39"/>
      <c r="F3833" s="40"/>
    </row>
    <row r="3834" spans="2:6">
      <c r="B3834" s="8"/>
      <c r="C3834" s="8"/>
      <c r="D3834" s="8"/>
      <c r="E3834" s="39"/>
      <c r="F3834" s="40"/>
    </row>
    <row r="3835" spans="2:6">
      <c r="B3835" s="8"/>
      <c r="C3835" s="8"/>
      <c r="D3835" s="8"/>
      <c r="E3835" s="39"/>
      <c r="F3835" s="40"/>
    </row>
    <row r="3836" spans="2:6">
      <c r="B3836" s="8"/>
      <c r="C3836" s="8"/>
      <c r="D3836" s="8"/>
      <c r="E3836" s="39"/>
      <c r="F3836" s="40"/>
    </row>
    <row r="3837" spans="2:6">
      <c r="B3837" s="8"/>
      <c r="C3837" s="8"/>
      <c r="D3837" s="8"/>
      <c r="E3837" s="39"/>
      <c r="F3837" s="40"/>
    </row>
    <row r="3838" spans="2:6">
      <c r="B3838" s="8"/>
      <c r="C3838" s="8"/>
      <c r="D3838" s="8"/>
      <c r="E3838" s="39"/>
      <c r="F3838" s="40"/>
    </row>
    <row r="3839" spans="2:6">
      <c r="B3839" s="8"/>
      <c r="C3839" s="8"/>
      <c r="D3839" s="8"/>
      <c r="E3839" s="39"/>
      <c r="F3839" s="40"/>
    </row>
    <row r="3840" spans="2:6">
      <c r="B3840" s="8"/>
      <c r="C3840" s="8"/>
      <c r="D3840" s="8"/>
      <c r="E3840" s="39"/>
      <c r="F3840" s="40"/>
    </row>
    <row r="3841" spans="2:6">
      <c r="B3841" s="8"/>
      <c r="C3841" s="8"/>
      <c r="D3841" s="8"/>
      <c r="E3841" s="39"/>
      <c r="F3841" s="40"/>
    </row>
    <row r="3842" spans="2:6">
      <c r="B3842" s="8"/>
      <c r="C3842" s="8"/>
      <c r="D3842" s="8"/>
      <c r="E3842" s="39"/>
      <c r="F3842" s="40"/>
    </row>
    <row r="3843" spans="2:6">
      <c r="B3843" s="8"/>
      <c r="C3843" s="8"/>
      <c r="D3843" s="8"/>
      <c r="E3843" s="39"/>
      <c r="F3843" s="40"/>
    </row>
    <row r="3844" spans="2:6">
      <c r="B3844" s="8"/>
      <c r="C3844" s="8"/>
      <c r="D3844" s="8"/>
      <c r="E3844" s="39"/>
      <c r="F3844" s="40"/>
    </row>
    <row r="3845" spans="2:6">
      <c r="B3845" s="8"/>
      <c r="C3845" s="8"/>
      <c r="D3845" s="8"/>
      <c r="E3845" s="39"/>
      <c r="F3845" s="40"/>
    </row>
    <row r="3846" spans="2:6">
      <c r="B3846" s="8"/>
      <c r="C3846" s="8"/>
      <c r="D3846" s="8"/>
      <c r="E3846" s="39"/>
      <c r="F3846" s="40"/>
    </row>
    <row r="3847" spans="2:6">
      <c r="B3847" s="8"/>
      <c r="C3847" s="8"/>
      <c r="D3847" s="8"/>
      <c r="E3847" s="39"/>
      <c r="F3847" s="40"/>
    </row>
    <row r="3848" spans="2:6">
      <c r="B3848" s="8"/>
      <c r="C3848" s="8"/>
      <c r="D3848" s="8"/>
      <c r="E3848" s="39"/>
      <c r="F3848" s="40"/>
    </row>
    <row r="3849" spans="2:6">
      <c r="B3849" s="8"/>
      <c r="C3849" s="8"/>
      <c r="D3849" s="8"/>
      <c r="E3849" s="39"/>
      <c r="F3849" s="40"/>
    </row>
    <row r="3850" spans="2:6">
      <c r="B3850" s="8"/>
      <c r="C3850" s="8"/>
      <c r="D3850" s="8"/>
      <c r="E3850" s="39"/>
      <c r="F3850" s="40"/>
    </row>
    <row r="3851" spans="2:6">
      <c r="B3851" s="8"/>
      <c r="C3851" s="8"/>
      <c r="D3851" s="8"/>
      <c r="E3851" s="39"/>
      <c r="F3851" s="40"/>
    </row>
    <row r="3852" spans="2:6">
      <c r="B3852" s="8"/>
      <c r="C3852" s="8"/>
      <c r="D3852" s="8"/>
      <c r="E3852" s="39"/>
      <c r="F3852" s="40"/>
    </row>
    <row r="3853" spans="2:6">
      <c r="B3853" s="8"/>
      <c r="C3853" s="8"/>
      <c r="D3853" s="8"/>
      <c r="E3853" s="39"/>
      <c r="F3853" s="40"/>
    </row>
    <row r="3854" spans="2:6">
      <c r="B3854" s="8"/>
      <c r="C3854" s="8"/>
      <c r="D3854" s="8"/>
      <c r="E3854" s="39"/>
      <c r="F3854" s="40"/>
    </row>
    <row r="3855" spans="2:6">
      <c r="B3855" s="8"/>
      <c r="C3855" s="8"/>
      <c r="D3855" s="8"/>
      <c r="E3855" s="39"/>
      <c r="F3855" s="40"/>
    </row>
    <row r="3856" spans="2:6">
      <c r="B3856" s="8"/>
      <c r="C3856" s="8"/>
      <c r="D3856" s="8"/>
      <c r="E3856" s="39"/>
      <c r="F3856" s="40"/>
    </row>
    <row r="3857" spans="2:6">
      <c r="B3857" s="8"/>
      <c r="C3857" s="8"/>
      <c r="D3857" s="8"/>
      <c r="E3857" s="39"/>
      <c r="F3857" s="40"/>
    </row>
    <row r="3858" spans="2:6">
      <c r="B3858" s="8"/>
      <c r="C3858" s="8"/>
      <c r="D3858" s="8"/>
      <c r="E3858" s="39"/>
      <c r="F3858" s="40"/>
    </row>
    <row r="3859" spans="2:6">
      <c r="B3859" s="8"/>
      <c r="C3859" s="8"/>
      <c r="D3859" s="8"/>
      <c r="E3859" s="39"/>
      <c r="F3859" s="40"/>
    </row>
    <row r="3860" spans="2:6">
      <c r="B3860" s="8"/>
      <c r="C3860" s="8"/>
      <c r="D3860" s="8"/>
      <c r="E3860" s="39"/>
      <c r="F3860" s="40"/>
    </row>
    <row r="3861" spans="2:6">
      <c r="B3861" s="8"/>
      <c r="C3861" s="8"/>
      <c r="D3861" s="8"/>
      <c r="E3861" s="39"/>
      <c r="F3861" s="40"/>
    </row>
    <row r="3862" spans="2:6">
      <c r="B3862" s="8"/>
      <c r="C3862" s="8"/>
      <c r="D3862" s="8"/>
      <c r="E3862" s="39"/>
      <c r="F3862" s="40"/>
    </row>
    <row r="3863" spans="2:6">
      <c r="B3863" s="8"/>
      <c r="C3863" s="8"/>
      <c r="D3863" s="8"/>
      <c r="E3863" s="39"/>
      <c r="F3863" s="40"/>
    </row>
    <row r="3864" spans="2:6">
      <c r="B3864" s="8"/>
      <c r="C3864" s="8"/>
      <c r="D3864" s="8"/>
      <c r="E3864" s="39"/>
      <c r="F3864" s="40"/>
    </row>
    <row r="3865" spans="2:6">
      <c r="B3865" s="8"/>
      <c r="C3865" s="8"/>
      <c r="D3865" s="8"/>
      <c r="E3865" s="39"/>
      <c r="F3865" s="40"/>
    </row>
    <row r="3866" spans="2:6">
      <c r="B3866" s="8"/>
      <c r="C3866" s="8"/>
      <c r="D3866" s="8"/>
      <c r="E3866" s="39"/>
      <c r="F3866" s="40"/>
    </row>
    <row r="3867" spans="2:6">
      <c r="B3867" s="8"/>
      <c r="C3867" s="8"/>
      <c r="D3867" s="8"/>
      <c r="E3867" s="39"/>
      <c r="F3867" s="40"/>
    </row>
    <row r="3868" spans="2:6">
      <c r="B3868" s="8"/>
      <c r="C3868" s="8"/>
      <c r="D3868" s="8"/>
      <c r="E3868" s="39"/>
      <c r="F3868" s="40"/>
    </row>
    <row r="3869" spans="2:6">
      <c r="B3869" s="8"/>
      <c r="C3869" s="8"/>
      <c r="D3869" s="8"/>
      <c r="E3869" s="39"/>
      <c r="F3869" s="40"/>
    </row>
    <row r="3870" spans="2:6">
      <c r="B3870" s="8"/>
      <c r="C3870" s="8"/>
      <c r="D3870" s="8"/>
      <c r="E3870" s="39"/>
      <c r="F3870" s="40"/>
    </row>
    <row r="3871" spans="2:6">
      <c r="B3871" s="8"/>
      <c r="C3871" s="8"/>
      <c r="D3871" s="8"/>
      <c r="E3871" s="39"/>
      <c r="F3871" s="40"/>
    </row>
    <row r="3872" spans="2:6">
      <c r="B3872" s="8"/>
      <c r="C3872" s="8"/>
      <c r="D3872" s="8"/>
      <c r="E3872" s="39"/>
      <c r="F3872" s="40"/>
    </row>
    <row r="3873" spans="2:6">
      <c r="B3873" s="8"/>
      <c r="C3873" s="8"/>
      <c r="D3873" s="8"/>
      <c r="E3873" s="39"/>
      <c r="F3873" s="40"/>
    </row>
    <row r="3874" spans="2:6">
      <c r="B3874" s="8"/>
      <c r="C3874" s="8"/>
      <c r="D3874" s="8"/>
      <c r="E3874" s="39"/>
      <c r="F3874" s="40"/>
    </row>
    <row r="3875" spans="2:6">
      <c r="B3875" s="8"/>
      <c r="C3875" s="8"/>
      <c r="D3875" s="8"/>
      <c r="E3875" s="39"/>
      <c r="F3875" s="40"/>
    </row>
    <row r="3876" spans="2:6">
      <c r="B3876" s="8"/>
      <c r="C3876" s="8"/>
      <c r="D3876" s="8"/>
      <c r="E3876" s="39"/>
      <c r="F3876" s="40"/>
    </row>
    <row r="3877" spans="2:6">
      <c r="B3877" s="8"/>
      <c r="C3877" s="8"/>
      <c r="D3877" s="8"/>
      <c r="E3877" s="39"/>
      <c r="F3877" s="40"/>
    </row>
    <row r="3878" spans="2:6">
      <c r="B3878" s="8"/>
      <c r="C3878" s="8"/>
      <c r="D3878" s="8"/>
      <c r="E3878" s="39"/>
      <c r="F3878" s="40"/>
    </row>
    <row r="3879" spans="2:6">
      <c r="B3879" s="8"/>
      <c r="C3879" s="8"/>
      <c r="D3879" s="8"/>
      <c r="E3879" s="39"/>
      <c r="F3879" s="40"/>
    </row>
    <row r="3880" spans="2:6">
      <c r="B3880" s="8"/>
      <c r="C3880" s="8"/>
      <c r="D3880" s="8"/>
      <c r="E3880" s="39"/>
      <c r="F3880" s="40"/>
    </row>
    <row r="3881" spans="2:6">
      <c r="B3881" s="8"/>
      <c r="C3881" s="8"/>
      <c r="D3881" s="8"/>
      <c r="E3881" s="39"/>
      <c r="F3881" s="40"/>
    </row>
    <row r="3882" spans="2:6">
      <c r="B3882" s="8"/>
      <c r="C3882" s="8"/>
      <c r="D3882" s="8"/>
      <c r="E3882" s="39"/>
      <c r="F3882" s="40"/>
    </row>
    <row r="3883" spans="2:6">
      <c r="B3883" s="8"/>
      <c r="C3883" s="8"/>
      <c r="D3883" s="8"/>
      <c r="E3883" s="39"/>
      <c r="F3883" s="40"/>
    </row>
    <row r="3884" spans="2:6">
      <c r="B3884" s="8"/>
      <c r="C3884" s="8"/>
      <c r="D3884" s="8"/>
      <c r="E3884" s="39"/>
      <c r="F3884" s="40"/>
    </row>
    <row r="3885" spans="2:6">
      <c r="B3885" s="8"/>
      <c r="C3885" s="8"/>
      <c r="D3885" s="8"/>
      <c r="E3885" s="39"/>
      <c r="F3885" s="40"/>
    </row>
    <row r="3886" spans="2:6">
      <c r="B3886" s="8"/>
      <c r="C3886" s="8"/>
      <c r="D3886" s="8"/>
      <c r="E3886" s="39"/>
      <c r="F3886" s="40"/>
    </row>
    <row r="3887" spans="2:6">
      <c r="B3887" s="8"/>
      <c r="C3887" s="8"/>
      <c r="D3887" s="8"/>
      <c r="E3887" s="39"/>
      <c r="F3887" s="40"/>
    </row>
    <row r="3888" spans="2:6">
      <c r="B3888" s="8"/>
      <c r="C3888" s="8"/>
      <c r="D3888" s="8"/>
      <c r="E3888" s="39"/>
      <c r="F3888" s="40"/>
    </row>
    <row r="3889" spans="2:6">
      <c r="B3889" s="8"/>
      <c r="C3889" s="8"/>
      <c r="D3889" s="8"/>
      <c r="E3889" s="39"/>
      <c r="F3889" s="40"/>
    </row>
    <row r="3890" spans="2:6">
      <c r="B3890" s="8"/>
      <c r="C3890" s="8"/>
      <c r="D3890" s="8"/>
      <c r="E3890" s="39"/>
      <c r="F3890" s="40"/>
    </row>
    <row r="3891" spans="2:6">
      <c r="B3891" s="8"/>
      <c r="C3891" s="8"/>
      <c r="D3891" s="8"/>
      <c r="E3891" s="39"/>
      <c r="F3891" s="40"/>
    </row>
    <row r="3892" spans="2:6">
      <c r="B3892" s="8"/>
      <c r="C3892" s="8"/>
      <c r="D3892" s="8"/>
      <c r="E3892" s="39"/>
      <c r="F3892" s="40"/>
    </row>
    <row r="3893" spans="2:6">
      <c r="B3893" s="8"/>
      <c r="C3893" s="8"/>
      <c r="D3893" s="8"/>
      <c r="E3893" s="39"/>
      <c r="F3893" s="40"/>
    </row>
    <row r="3894" spans="2:6">
      <c r="B3894" s="8"/>
      <c r="C3894" s="8"/>
      <c r="D3894" s="8"/>
      <c r="E3894" s="39"/>
      <c r="F3894" s="40"/>
    </row>
    <row r="3895" spans="2:6">
      <c r="B3895" s="8"/>
      <c r="C3895" s="8"/>
      <c r="D3895" s="8"/>
      <c r="E3895" s="39"/>
      <c r="F3895" s="40"/>
    </row>
    <row r="3896" spans="2:6">
      <c r="B3896" s="8"/>
      <c r="C3896" s="8"/>
      <c r="D3896" s="8"/>
      <c r="E3896" s="39"/>
      <c r="F3896" s="40"/>
    </row>
    <row r="3897" spans="2:6">
      <c r="B3897" s="8"/>
      <c r="C3897" s="8"/>
      <c r="D3897" s="8"/>
      <c r="E3897" s="39"/>
      <c r="F3897" s="40"/>
    </row>
    <row r="3898" spans="2:6">
      <c r="B3898" s="8"/>
      <c r="C3898" s="8"/>
      <c r="D3898" s="8"/>
      <c r="E3898" s="39"/>
      <c r="F3898" s="40"/>
    </row>
    <row r="3899" spans="2:6">
      <c r="B3899" s="8"/>
      <c r="C3899" s="8"/>
      <c r="D3899" s="8"/>
      <c r="E3899" s="39"/>
      <c r="F3899" s="40"/>
    </row>
    <row r="3900" spans="2:6">
      <c r="B3900" s="8"/>
      <c r="C3900" s="8"/>
      <c r="D3900" s="8"/>
      <c r="E3900" s="39"/>
      <c r="F3900" s="40"/>
    </row>
    <row r="3901" spans="2:6">
      <c r="B3901" s="8"/>
      <c r="C3901" s="8"/>
      <c r="D3901" s="8"/>
      <c r="E3901" s="39"/>
      <c r="F3901" s="40"/>
    </row>
    <row r="3902" spans="2:6">
      <c r="B3902" s="8"/>
      <c r="C3902" s="8"/>
      <c r="D3902" s="8"/>
      <c r="E3902" s="39"/>
      <c r="F3902" s="40"/>
    </row>
    <row r="3903" spans="2:6">
      <c r="B3903" s="8"/>
      <c r="C3903" s="8"/>
      <c r="D3903" s="8"/>
      <c r="E3903" s="39"/>
      <c r="F3903" s="40"/>
    </row>
    <row r="3904" spans="2:6">
      <c r="B3904" s="8"/>
      <c r="C3904" s="8"/>
      <c r="D3904" s="8"/>
      <c r="E3904" s="39"/>
      <c r="F3904" s="40"/>
    </row>
    <row r="3905" spans="2:6">
      <c r="B3905" s="8"/>
      <c r="C3905" s="8"/>
      <c r="D3905" s="8"/>
      <c r="E3905" s="39"/>
      <c r="F3905" s="40"/>
    </row>
    <row r="3906" spans="2:6">
      <c r="B3906" s="8"/>
      <c r="C3906" s="8"/>
      <c r="D3906" s="8"/>
      <c r="E3906" s="39"/>
      <c r="F3906" s="40"/>
    </row>
    <row r="3907" spans="2:6">
      <c r="B3907" s="8"/>
      <c r="C3907" s="8"/>
      <c r="D3907" s="8"/>
      <c r="E3907" s="39"/>
      <c r="F3907" s="40"/>
    </row>
    <row r="3908" spans="2:6">
      <c r="B3908" s="8"/>
      <c r="C3908" s="8"/>
      <c r="D3908" s="8"/>
      <c r="E3908" s="39"/>
      <c r="F3908" s="40"/>
    </row>
    <row r="3909" spans="2:6">
      <c r="B3909" s="8"/>
      <c r="C3909" s="8"/>
      <c r="D3909" s="8"/>
      <c r="E3909" s="39"/>
      <c r="F3909" s="40"/>
    </row>
    <row r="3910" spans="2:6">
      <c r="B3910" s="8"/>
      <c r="C3910" s="8"/>
      <c r="D3910" s="8"/>
      <c r="E3910" s="39"/>
      <c r="F3910" s="40"/>
    </row>
    <row r="3911" spans="2:6">
      <c r="B3911" s="8"/>
      <c r="C3911" s="8"/>
      <c r="D3911" s="8"/>
      <c r="E3911" s="39"/>
      <c r="F3911" s="40"/>
    </row>
    <row r="3912" spans="2:6">
      <c r="B3912" s="8"/>
      <c r="C3912" s="8"/>
      <c r="D3912" s="8"/>
      <c r="E3912" s="39"/>
      <c r="F3912" s="40"/>
    </row>
    <row r="3913" spans="2:6">
      <c r="B3913" s="8"/>
      <c r="C3913" s="8"/>
      <c r="D3913" s="8"/>
      <c r="E3913" s="39"/>
      <c r="F3913" s="40"/>
    </row>
    <row r="3914" spans="2:6">
      <c r="B3914" s="8"/>
      <c r="C3914" s="8"/>
      <c r="D3914" s="8"/>
      <c r="E3914" s="39"/>
      <c r="F3914" s="40"/>
    </row>
    <row r="3915" spans="2:6">
      <c r="B3915" s="8"/>
      <c r="C3915" s="8"/>
      <c r="D3915" s="8"/>
      <c r="E3915" s="39"/>
      <c r="F3915" s="40"/>
    </row>
    <row r="3916" spans="2:6">
      <c r="B3916" s="8"/>
      <c r="C3916" s="8"/>
      <c r="D3916" s="8"/>
      <c r="E3916" s="39"/>
      <c r="F3916" s="40"/>
    </row>
    <row r="3917" spans="2:6">
      <c r="B3917" s="8"/>
      <c r="C3917" s="8"/>
      <c r="D3917" s="8"/>
      <c r="E3917" s="39"/>
      <c r="F3917" s="40"/>
    </row>
    <row r="3918" spans="2:6">
      <c r="B3918" s="8"/>
      <c r="C3918" s="8"/>
      <c r="D3918" s="8"/>
      <c r="E3918" s="39"/>
      <c r="F3918" s="40"/>
    </row>
    <row r="3919" spans="2:6">
      <c r="B3919" s="8"/>
      <c r="C3919" s="8"/>
      <c r="D3919" s="8"/>
      <c r="E3919" s="39"/>
      <c r="F3919" s="40"/>
    </row>
    <row r="3920" spans="2:6">
      <c r="B3920" s="8"/>
      <c r="C3920" s="8"/>
      <c r="D3920" s="8"/>
      <c r="E3920" s="39"/>
      <c r="F3920" s="40"/>
    </row>
    <row r="3921" spans="2:6">
      <c r="B3921" s="8"/>
      <c r="C3921" s="8"/>
      <c r="D3921" s="8"/>
      <c r="E3921" s="39"/>
      <c r="F3921" s="40"/>
    </row>
    <row r="3922" spans="2:6">
      <c r="B3922" s="8"/>
      <c r="C3922" s="8"/>
      <c r="D3922" s="8"/>
      <c r="E3922" s="39"/>
      <c r="F3922" s="40"/>
    </row>
    <row r="3923" spans="2:6">
      <c r="B3923" s="8"/>
      <c r="C3923" s="8"/>
      <c r="D3923" s="8"/>
      <c r="E3923" s="39"/>
      <c r="F3923" s="40"/>
    </row>
    <row r="3924" spans="2:6">
      <c r="B3924" s="8"/>
      <c r="C3924" s="8"/>
      <c r="D3924" s="8"/>
      <c r="E3924" s="39"/>
      <c r="F3924" s="40"/>
    </row>
    <row r="3925" spans="2:6">
      <c r="B3925" s="8"/>
      <c r="C3925" s="8"/>
      <c r="D3925" s="8"/>
      <c r="E3925" s="39"/>
      <c r="F3925" s="40"/>
    </row>
    <row r="3926" spans="2:6">
      <c r="B3926" s="8"/>
      <c r="C3926" s="8"/>
      <c r="D3926" s="8"/>
      <c r="E3926" s="39"/>
      <c r="F3926" s="40"/>
    </row>
    <row r="3927" spans="2:6">
      <c r="B3927" s="8"/>
      <c r="C3927" s="8"/>
      <c r="D3927" s="8"/>
      <c r="E3927" s="39"/>
      <c r="F3927" s="40"/>
    </row>
    <row r="3928" spans="2:6">
      <c r="B3928" s="8"/>
      <c r="C3928" s="8"/>
      <c r="D3928" s="8"/>
      <c r="E3928" s="39"/>
      <c r="F3928" s="40"/>
    </row>
    <row r="3929" spans="2:6">
      <c r="B3929" s="8"/>
      <c r="C3929" s="8"/>
      <c r="D3929" s="8"/>
      <c r="E3929" s="39"/>
      <c r="F3929" s="40"/>
    </row>
    <row r="3930" spans="2:6">
      <c r="B3930" s="8"/>
      <c r="C3930" s="8"/>
      <c r="D3930" s="8"/>
      <c r="E3930" s="39"/>
      <c r="F3930" s="40"/>
    </row>
    <row r="3931" spans="2:6">
      <c r="B3931" s="8"/>
      <c r="C3931" s="8"/>
      <c r="D3931" s="8"/>
      <c r="E3931" s="39"/>
      <c r="F3931" s="40"/>
    </row>
    <row r="3932" spans="2:6">
      <c r="B3932" s="8"/>
      <c r="C3932" s="8"/>
      <c r="D3932" s="8"/>
      <c r="E3932" s="39"/>
      <c r="F3932" s="40"/>
    </row>
    <row r="3933" spans="2:6">
      <c r="B3933" s="8"/>
      <c r="C3933" s="8"/>
      <c r="D3933" s="8"/>
      <c r="E3933" s="39"/>
      <c r="F3933" s="40"/>
    </row>
    <row r="3934" spans="2:6">
      <c r="B3934" s="8"/>
      <c r="C3934" s="8"/>
      <c r="D3934" s="8"/>
      <c r="E3934" s="39"/>
      <c r="F3934" s="40"/>
    </row>
    <row r="3935" spans="2:6">
      <c r="B3935" s="8"/>
      <c r="C3935" s="8"/>
      <c r="D3935" s="8"/>
      <c r="E3935" s="39"/>
      <c r="F3935" s="40"/>
    </row>
    <row r="3936" spans="2:6">
      <c r="B3936" s="8"/>
      <c r="C3936" s="8"/>
      <c r="D3936" s="8"/>
      <c r="E3936" s="39"/>
      <c r="F3936" s="40"/>
    </row>
    <row r="3937" spans="2:6">
      <c r="B3937" s="8"/>
      <c r="C3937" s="8"/>
      <c r="D3937" s="8"/>
      <c r="E3937" s="39"/>
      <c r="F3937" s="40"/>
    </row>
    <row r="3938" spans="2:6">
      <c r="B3938" s="8"/>
      <c r="C3938" s="8"/>
      <c r="D3938" s="8"/>
      <c r="E3938" s="39"/>
      <c r="F3938" s="40"/>
    </row>
    <row r="3939" spans="2:6">
      <c r="B3939" s="8"/>
      <c r="C3939" s="8"/>
      <c r="D3939" s="8"/>
      <c r="E3939" s="39"/>
      <c r="F3939" s="40"/>
    </row>
    <row r="3940" spans="2:6">
      <c r="B3940" s="8"/>
      <c r="C3940" s="8"/>
      <c r="D3940" s="8"/>
      <c r="E3940" s="39"/>
      <c r="F3940" s="40"/>
    </row>
    <row r="3941" spans="2:6">
      <c r="B3941" s="8"/>
      <c r="C3941" s="8"/>
      <c r="D3941" s="8"/>
      <c r="E3941" s="39"/>
      <c r="F3941" s="40"/>
    </row>
    <row r="3942" spans="2:6">
      <c r="B3942" s="8"/>
      <c r="C3942" s="8"/>
      <c r="D3942" s="8"/>
      <c r="E3942" s="39"/>
      <c r="F3942" s="40"/>
    </row>
    <row r="3943" spans="2:6">
      <c r="B3943" s="8"/>
      <c r="C3943" s="8"/>
      <c r="D3943" s="8"/>
      <c r="E3943" s="39"/>
      <c r="F3943" s="40"/>
    </row>
    <row r="3944" spans="2:6">
      <c r="B3944" s="8"/>
      <c r="C3944" s="8"/>
      <c r="D3944" s="8"/>
      <c r="E3944" s="39"/>
      <c r="F3944" s="40"/>
    </row>
    <row r="3945" spans="2:6">
      <c r="B3945" s="8"/>
      <c r="C3945" s="8"/>
      <c r="D3945" s="8"/>
      <c r="E3945" s="39"/>
      <c r="F3945" s="40"/>
    </row>
    <row r="3946" spans="2:6">
      <c r="B3946" s="8"/>
      <c r="C3946" s="8"/>
      <c r="D3946" s="8"/>
      <c r="E3946" s="39"/>
      <c r="F3946" s="40"/>
    </row>
    <row r="3947" spans="2:6">
      <c r="B3947" s="8"/>
      <c r="C3947" s="8"/>
      <c r="D3947" s="8"/>
      <c r="E3947" s="39"/>
      <c r="F3947" s="40"/>
    </row>
    <row r="3948" spans="2:6">
      <c r="B3948" s="8"/>
      <c r="C3948" s="8"/>
      <c r="D3948" s="8"/>
      <c r="E3948" s="39"/>
      <c r="F3948" s="40"/>
    </row>
    <row r="3949" spans="2:6">
      <c r="B3949" s="8"/>
      <c r="C3949" s="8"/>
      <c r="D3949" s="8"/>
      <c r="E3949" s="39"/>
      <c r="F3949" s="40"/>
    </row>
    <row r="3950" spans="2:6">
      <c r="B3950" s="8"/>
      <c r="C3950" s="8"/>
      <c r="D3950" s="8"/>
      <c r="E3950" s="39"/>
      <c r="F3950" s="40"/>
    </row>
    <row r="3951" spans="2:6">
      <c r="B3951" s="8"/>
      <c r="C3951" s="8"/>
      <c r="D3951" s="8"/>
      <c r="E3951" s="39"/>
      <c r="F3951" s="40"/>
    </row>
    <row r="3952" spans="2:6">
      <c r="B3952" s="8"/>
      <c r="C3952" s="8"/>
      <c r="D3952" s="8"/>
      <c r="E3952" s="39"/>
      <c r="F3952" s="40"/>
    </row>
    <row r="3953" spans="2:6">
      <c r="B3953" s="8"/>
      <c r="C3953" s="8"/>
      <c r="D3953" s="8"/>
      <c r="E3953" s="39"/>
      <c r="F3953" s="40"/>
    </row>
    <row r="3954" spans="2:6">
      <c r="B3954" s="8"/>
      <c r="C3954" s="8"/>
      <c r="D3954" s="8"/>
      <c r="E3954" s="39"/>
      <c r="F3954" s="40"/>
    </row>
    <row r="3955" spans="2:6">
      <c r="B3955" s="8"/>
      <c r="C3955" s="8"/>
      <c r="D3955" s="8"/>
      <c r="E3955" s="39"/>
      <c r="F3955" s="40"/>
    </row>
    <row r="3956" spans="2:6">
      <c r="B3956" s="8"/>
      <c r="C3956" s="8"/>
      <c r="D3956" s="8"/>
      <c r="E3956" s="39"/>
      <c r="F3956" s="40"/>
    </row>
    <row r="3957" spans="2:6">
      <c r="B3957" s="8"/>
      <c r="C3957" s="8"/>
      <c r="D3957" s="8"/>
      <c r="E3957" s="39"/>
      <c r="F3957" s="40"/>
    </row>
    <row r="3958" spans="2:6">
      <c r="B3958" s="8"/>
      <c r="C3958" s="8"/>
      <c r="D3958" s="8"/>
      <c r="E3958" s="39"/>
      <c r="F3958" s="40"/>
    </row>
    <row r="3959" spans="2:6">
      <c r="B3959" s="8"/>
      <c r="C3959" s="8"/>
      <c r="D3959" s="8"/>
      <c r="E3959" s="39"/>
      <c r="F3959" s="40"/>
    </row>
    <row r="3960" spans="2:6">
      <c r="B3960" s="8"/>
      <c r="C3960" s="8"/>
      <c r="D3960" s="8"/>
      <c r="E3960" s="39"/>
      <c r="F3960" s="40"/>
    </row>
    <row r="3961" spans="2:6">
      <c r="B3961" s="8"/>
      <c r="C3961" s="8"/>
      <c r="D3961" s="8"/>
      <c r="E3961" s="39"/>
      <c r="F3961" s="40"/>
    </row>
    <row r="3962" spans="2:6">
      <c r="B3962" s="8"/>
      <c r="C3962" s="8"/>
      <c r="D3962" s="8"/>
      <c r="E3962" s="39"/>
      <c r="F3962" s="40"/>
    </row>
    <row r="3963" spans="2:6">
      <c r="B3963" s="8"/>
      <c r="C3963" s="8"/>
      <c r="D3963" s="8"/>
      <c r="E3963" s="39"/>
      <c r="F3963" s="40"/>
    </row>
    <row r="3964" spans="2:6">
      <c r="B3964" s="8"/>
      <c r="C3964" s="8"/>
      <c r="D3964" s="8"/>
      <c r="E3964" s="39"/>
      <c r="F3964" s="40"/>
    </row>
    <row r="3965" spans="2:6">
      <c r="B3965" s="8"/>
      <c r="C3965" s="8"/>
      <c r="D3965" s="8"/>
      <c r="E3965" s="39"/>
      <c r="F3965" s="40"/>
    </row>
    <row r="3966" spans="2:6">
      <c r="B3966" s="8"/>
      <c r="C3966" s="8"/>
      <c r="D3966" s="8"/>
      <c r="E3966" s="39"/>
      <c r="F3966" s="40"/>
    </row>
    <row r="3967" spans="2:6">
      <c r="B3967" s="8"/>
      <c r="C3967" s="8"/>
      <c r="D3967" s="8"/>
      <c r="E3967" s="39"/>
      <c r="F3967" s="40"/>
    </row>
    <row r="3968" spans="2:6">
      <c r="B3968" s="8"/>
      <c r="C3968" s="8"/>
      <c r="D3968" s="8"/>
      <c r="E3968" s="39"/>
      <c r="F3968" s="40"/>
    </row>
    <row r="3969" spans="2:6">
      <c r="B3969" s="8"/>
      <c r="C3969" s="8"/>
      <c r="D3969" s="8"/>
      <c r="E3969" s="39"/>
      <c r="F3969" s="40"/>
    </row>
    <row r="3970" spans="2:6">
      <c r="B3970" s="8"/>
      <c r="C3970" s="8"/>
      <c r="D3970" s="8"/>
      <c r="E3970" s="39"/>
      <c r="F3970" s="40"/>
    </row>
    <row r="3971" spans="2:6">
      <c r="B3971" s="8"/>
      <c r="C3971" s="8"/>
      <c r="D3971" s="8"/>
      <c r="E3971" s="39"/>
      <c r="F3971" s="40"/>
    </row>
    <row r="3972" spans="2:6">
      <c r="B3972" s="8"/>
      <c r="C3972" s="8"/>
      <c r="D3972" s="8"/>
      <c r="E3972" s="39"/>
      <c r="F3972" s="40"/>
    </row>
    <row r="3973" spans="2:6">
      <c r="B3973" s="8"/>
      <c r="C3973" s="8"/>
      <c r="D3973" s="8"/>
      <c r="E3973" s="39"/>
      <c r="F3973" s="40"/>
    </row>
    <row r="3974" spans="2:6">
      <c r="B3974" s="8"/>
      <c r="C3974" s="8"/>
      <c r="D3974" s="8"/>
      <c r="E3974" s="39"/>
      <c r="F3974" s="40"/>
    </row>
    <row r="3975" spans="2:6">
      <c r="B3975" s="8"/>
      <c r="C3975" s="8"/>
      <c r="D3975" s="8"/>
      <c r="E3975" s="39"/>
      <c r="F3975" s="40"/>
    </row>
    <row r="3976" spans="2:6">
      <c r="B3976" s="8"/>
      <c r="C3976" s="8"/>
      <c r="D3976" s="8"/>
      <c r="E3976" s="39"/>
      <c r="F3976" s="40"/>
    </row>
    <row r="3977" spans="2:6">
      <c r="B3977" s="8"/>
      <c r="C3977" s="8"/>
      <c r="D3977" s="8"/>
      <c r="E3977" s="39"/>
      <c r="F3977" s="40"/>
    </row>
    <row r="3978" spans="2:6">
      <c r="B3978" s="8"/>
      <c r="C3978" s="8"/>
      <c r="D3978" s="8"/>
      <c r="E3978" s="39"/>
      <c r="F3978" s="40"/>
    </row>
    <row r="3979" spans="2:6">
      <c r="B3979" s="8"/>
      <c r="C3979" s="8"/>
      <c r="D3979" s="8"/>
      <c r="E3979" s="39"/>
      <c r="F3979" s="40"/>
    </row>
    <row r="3980" spans="2:6">
      <c r="B3980" s="8"/>
      <c r="C3980" s="8"/>
      <c r="D3980" s="8"/>
      <c r="E3980" s="39"/>
      <c r="F3980" s="40"/>
    </row>
    <row r="3981" spans="2:6">
      <c r="B3981" s="8"/>
      <c r="C3981" s="8"/>
      <c r="D3981" s="8"/>
      <c r="E3981" s="39"/>
      <c r="F3981" s="40"/>
    </row>
    <row r="3982" spans="2:6">
      <c r="B3982" s="8"/>
      <c r="C3982" s="8"/>
      <c r="D3982" s="8"/>
      <c r="E3982" s="39"/>
      <c r="F3982" s="40"/>
    </row>
    <row r="3983" spans="2:6">
      <c r="B3983" s="8"/>
      <c r="C3983" s="8"/>
      <c r="D3983" s="8"/>
      <c r="E3983" s="39"/>
      <c r="F3983" s="40"/>
    </row>
    <row r="3984" spans="2:6">
      <c r="B3984" s="8"/>
      <c r="C3984" s="8"/>
      <c r="D3984" s="8"/>
      <c r="E3984" s="39"/>
      <c r="F3984" s="40"/>
    </row>
    <row r="3985" spans="2:6">
      <c r="B3985" s="8"/>
      <c r="C3985" s="8"/>
      <c r="D3985" s="8"/>
      <c r="E3985" s="39"/>
      <c r="F3985" s="40"/>
    </row>
    <row r="3986" spans="2:6">
      <c r="B3986" s="8"/>
      <c r="C3986" s="8"/>
      <c r="D3986" s="8"/>
      <c r="E3986" s="39"/>
      <c r="F3986" s="40"/>
    </row>
    <row r="3987" spans="2:6">
      <c r="B3987" s="8"/>
      <c r="C3987" s="8"/>
      <c r="D3987" s="8"/>
      <c r="E3987" s="39"/>
      <c r="F3987" s="40"/>
    </row>
    <row r="3988" spans="2:6">
      <c r="B3988" s="8"/>
      <c r="C3988" s="8"/>
      <c r="D3988" s="8"/>
      <c r="E3988" s="39"/>
      <c r="F3988" s="40"/>
    </row>
    <row r="3989" spans="2:6">
      <c r="B3989" s="8"/>
      <c r="C3989" s="8"/>
      <c r="D3989" s="8"/>
      <c r="E3989" s="39"/>
      <c r="F3989" s="40"/>
    </row>
    <row r="3990" spans="2:6">
      <c r="B3990" s="8"/>
      <c r="C3990" s="8"/>
      <c r="D3990" s="8"/>
      <c r="E3990" s="39"/>
      <c r="F3990" s="40"/>
    </row>
    <row r="3991" spans="2:6">
      <c r="B3991" s="8"/>
      <c r="C3991" s="8"/>
      <c r="D3991" s="8"/>
      <c r="E3991" s="39"/>
      <c r="F3991" s="40"/>
    </row>
    <row r="3992" spans="2:6">
      <c r="B3992" s="8"/>
      <c r="C3992" s="8"/>
      <c r="D3992" s="8"/>
      <c r="E3992" s="39"/>
      <c r="F3992" s="40"/>
    </row>
    <row r="3993" spans="2:6">
      <c r="B3993" s="8"/>
      <c r="C3993" s="8"/>
      <c r="D3993" s="8"/>
      <c r="E3993" s="39"/>
      <c r="F3993" s="40"/>
    </row>
    <row r="3994" spans="2:6">
      <c r="B3994" s="8"/>
      <c r="C3994" s="8"/>
      <c r="D3994" s="8"/>
      <c r="E3994" s="39"/>
      <c r="F3994" s="40"/>
    </row>
    <row r="3995" spans="2:6">
      <c r="B3995" s="8"/>
      <c r="C3995" s="8"/>
      <c r="D3995" s="8"/>
      <c r="E3995" s="39"/>
      <c r="F3995" s="40"/>
    </row>
    <row r="3996" spans="2:6">
      <c r="B3996" s="8"/>
      <c r="C3996" s="8"/>
      <c r="D3996" s="8"/>
      <c r="E3996" s="39"/>
      <c r="F3996" s="40"/>
    </row>
    <row r="3997" spans="2:6">
      <c r="B3997" s="8"/>
      <c r="C3997" s="8"/>
      <c r="D3997" s="8"/>
      <c r="E3997" s="39"/>
      <c r="F3997" s="40"/>
    </row>
    <row r="3998" spans="2:6">
      <c r="B3998" s="8"/>
      <c r="C3998" s="8"/>
      <c r="D3998" s="8"/>
      <c r="E3998" s="39"/>
      <c r="F3998" s="40"/>
    </row>
    <row r="3999" spans="2:6">
      <c r="B3999" s="8"/>
      <c r="C3999" s="8"/>
      <c r="D3999" s="8"/>
      <c r="E3999" s="39"/>
      <c r="F3999" s="40"/>
    </row>
    <row r="4000" spans="2:6">
      <c r="B4000" s="8"/>
      <c r="C4000" s="8"/>
      <c r="D4000" s="8"/>
      <c r="E4000" s="39"/>
      <c r="F4000" s="40"/>
    </row>
    <row r="4001" spans="2:6">
      <c r="B4001" s="8"/>
      <c r="C4001" s="8"/>
      <c r="D4001" s="8"/>
      <c r="E4001" s="39"/>
      <c r="F4001" s="40"/>
    </row>
    <row r="4002" spans="2:6">
      <c r="B4002" s="8"/>
      <c r="C4002" s="8"/>
      <c r="D4002" s="8"/>
      <c r="E4002" s="39"/>
      <c r="F4002" s="40"/>
    </row>
    <row r="4003" spans="2:6">
      <c r="B4003" s="8"/>
      <c r="C4003" s="8"/>
      <c r="D4003" s="8"/>
      <c r="E4003" s="39"/>
      <c r="F4003" s="40"/>
    </row>
    <row r="4004" spans="2:6">
      <c r="B4004" s="8"/>
      <c r="C4004" s="8"/>
      <c r="D4004" s="8"/>
      <c r="E4004" s="39"/>
      <c r="F4004" s="40"/>
    </row>
    <row r="4005" spans="2:6">
      <c r="B4005" s="8"/>
      <c r="C4005" s="8"/>
      <c r="D4005" s="8"/>
      <c r="E4005" s="39"/>
      <c r="F4005" s="40"/>
    </row>
    <row r="4006" spans="2:6">
      <c r="B4006" s="8"/>
      <c r="C4006" s="8"/>
      <c r="D4006" s="8"/>
      <c r="E4006" s="39"/>
      <c r="F4006" s="40"/>
    </row>
    <row r="4007" spans="2:6">
      <c r="B4007" s="8"/>
      <c r="C4007" s="8"/>
      <c r="D4007" s="8"/>
      <c r="E4007" s="39"/>
      <c r="F4007" s="40"/>
    </row>
    <row r="4008" spans="2:6">
      <c r="B4008" s="8"/>
      <c r="C4008" s="8"/>
      <c r="D4008" s="8"/>
      <c r="E4008" s="39"/>
      <c r="F4008" s="40"/>
    </row>
    <row r="4009" spans="2:6">
      <c r="B4009" s="8"/>
      <c r="C4009" s="8"/>
      <c r="D4009" s="8"/>
      <c r="E4009" s="39"/>
      <c r="F4009" s="40"/>
    </row>
    <row r="4010" spans="2:6">
      <c r="B4010" s="8"/>
      <c r="C4010" s="8"/>
      <c r="D4010" s="8"/>
      <c r="E4010" s="39"/>
      <c r="F4010" s="40"/>
    </row>
    <row r="4011" spans="2:6">
      <c r="B4011" s="8"/>
      <c r="C4011" s="8"/>
      <c r="D4011" s="8"/>
      <c r="E4011" s="39"/>
      <c r="F4011" s="40"/>
    </row>
    <row r="4012" spans="2:6">
      <c r="B4012" s="8"/>
      <c r="C4012" s="8"/>
      <c r="D4012" s="8"/>
      <c r="E4012" s="39"/>
      <c r="F4012" s="40"/>
    </row>
    <row r="4013" spans="2:6">
      <c r="B4013" s="8"/>
      <c r="C4013" s="8"/>
      <c r="D4013" s="8"/>
      <c r="E4013" s="39"/>
      <c r="F4013" s="40"/>
    </row>
    <row r="4014" spans="2:6">
      <c r="B4014" s="8"/>
      <c r="C4014" s="8"/>
      <c r="D4014" s="8"/>
      <c r="E4014" s="39"/>
      <c r="F4014" s="40"/>
    </row>
    <row r="4015" spans="2:6">
      <c r="B4015" s="8"/>
      <c r="C4015" s="8"/>
      <c r="D4015" s="8"/>
      <c r="E4015" s="39"/>
      <c r="F4015" s="40"/>
    </row>
    <row r="4016" spans="2:6">
      <c r="B4016" s="8"/>
      <c r="C4016" s="8"/>
      <c r="D4016" s="8"/>
      <c r="E4016" s="39"/>
      <c r="F4016" s="40"/>
    </row>
    <row r="4017" spans="2:6">
      <c r="B4017" s="8"/>
      <c r="C4017" s="8"/>
      <c r="D4017" s="8"/>
      <c r="E4017" s="39"/>
      <c r="F4017" s="40"/>
    </row>
    <row r="4018" spans="2:6">
      <c r="B4018" s="8"/>
      <c r="C4018" s="8"/>
      <c r="D4018" s="8"/>
      <c r="E4018" s="39"/>
      <c r="F4018" s="40"/>
    </row>
    <row r="4019" spans="2:6">
      <c r="B4019" s="8"/>
      <c r="C4019" s="8"/>
      <c r="D4019" s="8"/>
      <c r="E4019" s="39"/>
      <c r="F4019" s="40"/>
    </row>
    <row r="4020" spans="2:6">
      <c r="B4020" s="8"/>
      <c r="C4020" s="8"/>
      <c r="D4020" s="8"/>
      <c r="E4020" s="39"/>
      <c r="F4020" s="40"/>
    </row>
    <row r="4021" spans="2:6">
      <c r="B4021" s="8"/>
      <c r="C4021" s="8"/>
      <c r="D4021" s="8"/>
      <c r="E4021" s="39"/>
      <c r="F4021" s="40"/>
    </row>
    <row r="4022" spans="2:6">
      <c r="B4022" s="8"/>
      <c r="C4022" s="8"/>
      <c r="D4022" s="8"/>
      <c r="E4022" s="39"/>
      <c r="F4022" s="40"/>
    </row>
    <row r="4023" spans="2:6">
      <c r="B4023" s="8"/>
      <c r="C4023" s="8"/>
      <c r="D4023" s="8"/>
      <c r="E4023" s="39"/>
      <c r="F4023" s="40"/>
    </row>
    <row r="4024" spans="2:6">
      <c r="B4024" s="8"/>
      <c r="C4024" s="8"/>
      <c r="D4024" s="8"/>
      <c r="E4024" s="39"/>
      <c r="F4024" s="40"/>
    </row>
    <row r="4025" spans="2:6">
      <c r="B4025" s="8"/>
      <c r="C4025" s="8"/>
      <c r="D4025" s="8"/>
      <c r="E4025" s="39"/>
      <c r="F4025" s="40"/>
    </row>
    <row r="4026" spans="2:6">
      <c r="B4026" s="8"/>
      <c r="C4026" s="8"/>
      <c r="D4026" s="8"/>
      <c r="E4026" s="39"/>
      <c r="F4026" s="40"/>
    </row>
    <row r="4027" spans="2:6">
      <c r="B4027" s="8"/>
      <c r="C4027" s="8"/>
      <c r="D4027" s="8"/>
      <c r="E4027" s="39"/>
      <c r="F4027" s="40"/>
    </row>
    <row r="4028" spans="2:6">
      <c r="B4028" s="8"/>
      <c r="C4028" s="8"/>
      <c r="D4028" s="8"/>
      <c r="E4028" s="39"/>
      <c r="F4028" s="40"/>
    </row>
    <row r="4029" spans="2:6">
      <c r="B4029" s="8"/>
      <c r="C4029" s="8"/>
      <c r="D4029" s="8"/>
      <c r="E4029" s="39"/>
      <c r="F4029" s="40"/>
    </row>
    <row r="4030" spans="2:6">
      <c r="B4030" s="8"/>
      <c r="C4030" s="8"/>
      <c r="D4030" s="8"/>
      <c r="E4030" s="39"/>
      <c r="F4030" s="40"/>
    </row>
    <row r="4031" spans="2:6">
      <c r="B4031" s="8"/>
      <c r="C4031" s="8"/>
      <c r="D4031" s="8"/>
      <c r="E4031" s="39"/>
      <c r="F4031" s="40"/>
    </row>
    <row r="4032" spans="2:6">
      <c r="B4032" s="8"/>
      <c r="C4032" s="8"/>
      <c r="D4032" s="8"/>
      <c r="E4032" s="39"/>
      <c r="F4032" s="40"/>
    </row>
    <row r="4033" spans="2:6">
      <c r="B4033" s="8"/>
      <c r="C4033" s="8"/>
      <c r="D4033" s="8"/>
      <c r="E4033" s="39"/>
      <c r="F4033" s="40"/>
    </row>
    <row r="4034" spans="2:6">
      <c r="B4034" s="8"/>
      <c r="C4034" s="8"/>
      <c r="D4034" s="8"/>
      <c r="E4034" s="39"/>
      <c r="F4034" s="40"/>
    </row>
    <row r="4035" spans="2:6">
      <c r="B4035" s="8"/>
      <c r="C4035" s="8"/>
      <c r="D4035" s="8"/>
      <c r="E4035" s="39"/>
      <c r="F4035" s="40"/>
    </row>
    <row r="4036" spans="2:6">
      <c r="B4036" s="8"/>
      <c r="C4036" s="8"/>
      <c r="D4036" s="8"/>
      <c r="E4036" s="39"/>
      <c r="F4036" s="40"/>
    </row>
    <row r="4037" spans="2:6">
      <c r="B4037" s="8"/>
      <c r="C4037" s="8"/>
      <c r="D4037" s="8"/>
      <c r="E4037" s="39"/>
      <c r="F4037" s="40"/>
    </row>
    <row r="4038" spans="2:6">
      <c r="B4038" s="8"/>
      <c r="C4038" s="8"/>
      <c r="D4038" s="8"/>
      <c r="E4038" s="39"/>
      <c r="F4038" s="40"/>
    </row>
    <row r="4039" spans="2:6">
      <c r="B4039" s="8"/>
      <c r="C4039" s="8"/>
      <c r="D4039" s="8"/>
      <c r="E4039" s="39"/>
      <c r="F4039" s="40"/>
    </row>
    <row r="4040" spans="2:6">
      <c r="B4040" s="8"/>
      <c r="C4040" s="8"/>
      <c r="D4040" s="8"/>
      <c r="E4040" s="39"/>
      <c r="F4040" s="40"/>
    </row>
    <row r="4041" spans="2:6">
      <c r="B4041" s="8"/>
      <c r="C4041" s="8"/>
      <c r="D4041" s="8"/>
      <c r="E4041" s="39"/>
      <c r="F4041" s="40"/>
    </row>
    <row r="4042" spans="2:6">
      <c r="B4042" s="8"/>
      <c r="C4042" s="8"/>
      <c r="D4042" s="8"/>
      <c r="E4042" s="39"/>
      <c r="F4042" s="40"/>
    </row>
    <row r="4043" spans="2:6">
      <c r="B4043" s="8"/>
      <c r="C4043" s="8"/>
      <c r="D4043" s="8"/>
      <c r="E4043" s="39"/>
      <c r="F4043" s="40"/>
    </row>
    <row r="4044" spans="2:6">
      <c r="B4044" s="8"/>
      <c r="C4044" s="8"/>
      <c r="D4044" s="8"/>
      <c r="E4044" s="39"/>
      <c r="F4044" s="40"/>
    </row>
    <row r="4045" spans="2:6">
      <c r="B4045" s="8"/>
      <c r="C4045" s="8"/>
      <c r="D4045" s="8"/>
      <c r="E4045" s="39"/>
      <c r="F4045" s="40"/>
    </row>
    <row r="4046" spans="2:6">
      <c r="B4046" s="8"/>
      <c r="C4046" s="8"/>
      <c r="D4046" s="8"/>
      <c r="E4046" s="39"/>
      <c r="F4046" s="40"/>
    </row>
    <row r="4047" spans="2:6">
      <c r="B4047" s="8"/>
      <c r="C4047" s="8"/>
      <c r="D4047" s="8"/>
      <c r="E4047" s="39"/>
      <c r="F4047" s="40"/>
    </row>
    <row r="4048" spans="2:6">
      <c r="B4048" s="8"/>
      <c r="C4048" s="8"/>
      <c r="D4048" s="8"/>
      <c r="E4048" s="39"/>
      <c r="F4048" s="40"/>
    </row>
    <row r="4049" spans="2:6">
      <c r="B4049" s="8"/>
      <c r="C4049" s="8"/>
      <c r="D4049" s="8"/>
      <c r="E4049" s="39"/>
      <c r="F4049" s="40"/>
    </row>
    <row r="4050" spans="2:6">
      <c r="B4050" s="8"/>
      <c r="C4050" s="8"/>
      <c r="D4050" s="8"/>
      <c r="E4050" s="39"/>
      <c r="F4050" s="40"/>
    </row>
    <row r="4051" spans="2:6">
      <c r="B4051" s="8"/>
      <c r="C4051" s="8"/>
      <c r="D4051" s="8"/>
      <c r="E4051" s="39"/>
      <c r="F4051" s="40"/>
    </row>
    <row r="4052" spans="2:6">
      <c r="B4052" s="8"/>
      <c r="C4052" s="8"/>
      <c r="D4052" s="8"/>
      <c r="E4052" s="39"/>
      <c r="F4052" s="40"/>
    </row>
    <row r="4053" spans="2:6">
      <c r="B4053" s="8"/>
      <c r="C4053" s="8"/>
      <c r="D4053" s="8"/>
      <c r="E4053" s="39"/>
      <c r="F4053" s="40"/>
    </row>
    <row r="4054" spans="2:6">
      <c r="B4054" s="8"/>
      <c r="C4054" s="8"/>
      <c r="D4054" s="8"/>
      <c r="E4054" s="39"/>
      <c r="F4054" s="40"/>
    </row>
    <row r="4055" spans="2:6">
      <c r="B4055" s="8"/>
      <c r="C4055" s="8"/>
      <c r="D4055" s="8"/>
      <c r="E4055" s="39"/>
      <c r="F4055" s="40"/>
    </row>
    <row r="4056" spans="2:6">
      <c r="B4056" s="8"/>
      <c r="C4056" s="8"/>
      <c r="D4056" s="8"/>
      <c r="E4056" s="39"/>
      <c r="F4056" s="40"/>
    </row>
    <row r="4057" spans="2:6">
      <c r="B4057" s="8"/>
      <c r="C4057" s="8"/>
      <c r="D4057" s="8"/>
      <c r="E4057" s="39"/>
      <c r="F4057" s="40"/>
    </row>
    <row r="4058" spans="2:6">
      <c r="B4058" s="8"/>
      <c r="C4058" s="8"/>
      <c r="D4058" s="8"/>
      <c r="E4058" s="39"/>
      <c r="F4058" s="40"/>
    </row>
    <row r="4059" spans="2:6">
      <c r="B4059" s="8"/>
      <c r="C4059" s="8"/>
      <c r="D4059" s="8"/>
      <c r="E4059" s="39"/>
      <c r="F4059" s="40"/>
    </row>
    <row r="4060" spans="2:6">
      <c r="B4060" s="8"/>
      <c r="C4060" s="8"/>
      <c r="D4060" s="8"/>
      <c r="E4060" s="39"/>
      <c r="F4060" s="40"/>
    </row>
    <row r="4061" spans="2:6">
      <c r="B4061" s="8"/>
      <c r="C4061" s="8"/>
      <c r="D4061" s="8"/>
      <c r="E4061" s="39"/>
      <c r="F4061" s="40"/>
    </row>
    <row r="4062" spans="2:6">
      <c r="B4062" s="8"/>
      <c r="C4062" s="8"/>
      <c r="D4062" s="8"/>
      <c r="E4062" s="39"/>
      <c r="F4062" s="40"/>
    </row>
    <row r="4063" spans="2:6">
      <c r="B4063" s="8"/>
      <c r="C4063" s="8"/>
      <c r="D4063" s="8"/>
      <c r="E4063" s="39"/>
      <c r="F4063" s="40"/>
    </row>
    <row r="4064" spans="2:6">
      <c r="B4064" s="8"/>
      <c r="C4064" s="8"/>
      <c r="D4064" s="8"/>
      <c r="E4064" s="39"/>
      <c r="F4064" s="40"/>
    </row>
    <row r="4065" spans="2:6">
      <c r="B4065" s="8"/>
      <c r="C4065" s="8"/>
      <c r="D4065" s="8"/>
      <c r="E4065" s="39"/>
      <c r="F4065" s="40"/>
    </row>
    <row r="4066" spans="2:6">
      <c r="B4066" s="8"/>
      <c r="C4066" s="8"/>
      <c r="D4066" s="8"/>
      <c r="E4066" s="39"/>
      <c r="F4066" s="40"/>
    </row>
    <row r="4067" spans="2:6">
      <c r="B4067" s="8"/>
      <c r="C4067" s="8"/>
      <c r="D4067" s="8"/>
      <c r="E4067" s="39"/>
      <c r="F4067" s="40"/>
    </row>
    <row r="4068" spans="2:6">
      <c r="B4068" s="8"/>
      <c r="C4068" s="8"/>
      <c r="D4068" s="8"/>
      <c r="E4068" s="39"/>
      <c r="F4068" s="40"/>
    </row>
    <row r="4069" spans="2:6">
      <c r="B4069" s="8"/>
      <c r="C4069" s="8"/>
      <c r="D4069" s="8"/>
      <c r="E4069" s="39"/>
      <c r="F4069" s="40"/>
    </row>
    <row r="4070" spans="2:6">
      <c r="B4070" s="8"/>
      <c r="C4070" s="8"/>
      <c r="D4070" s="8"/>
      <c r="E4070" s="39"/>
      <c r="F4070" s="40"/>
    </row>
    <row r="4071" spans="2:6">
      <c r="B4071" s="8"/>
      <c r="C4071" s="8"/>
      <c r="D4071" s="8"/>
      <c r="E4071" s="39"/>
      <c r="F4071" s="40"/>
    </row>
    <row r="4072" spans="2:6">
      <c r="B4072" s="8"/>
      <c r="C4072" s="8"/>
      <c r="D4072" s="8"/>
      <c r="E4072" s="39"/>
      <c r="F4072" s="40"/>
    </row>
    <row r="4073" spans="2:6">
      <c r="B4073" s="8"/>
      <c r="C4073" s="8"/>
      <c r="D4073" s="8"/>
      <c r="E4073" s="39"/>
      <c r="F4073" s="40"/>
    </row>
    <row r="4074" spans="2:6">
      <c r="B4074" s="8"/>
      <c r="C4074" s="8"/>
      <c r="D4074" s="8"/>
      <c r="E4074" s="39"/>
      <c r="F4074" s="40"/>
    </row>
    <row r="4075" spans="2:6">
      <c r="B4075" s="8"/>
      <c r="C4075" s="8"/>
      <c r="D4075" s="8"/>
      <c r="E4075" s="39"/>
      <c r="F4075" s="40"/>
    </row>
    <row r="4076" spans="2:6">
      <c r="B4076" s="8"/>
      <c r="C4076" s="8"/>
      <c r="D4076" s="8"/>
      <c r="E4076" s="39"/>
      <c r="F4076" s="40"/>
    </row>
    <row r="4077" spans="2:6">
      <c r="B4077" s="8"/>
      <c r="C4077" s="8"/>
      <c r="D4077" s="8"/>
      <c r="E4077" s="39"/>
      <c r="F4077" s="40"/>
    </row>
    <row r="4078" spans="2:6">
      <c r="B4078" s="8"/>
      <c r="C4078" s="8"/>
      <c r="D4078" s="8"/>
      <c r="E4078" s="39"/>
      <c r="F4078" s="40"/>
    </row>
    <row r="4079" spans="2:6">
      <c r="B4079" s="8"/>
      <c r="C4079" s="8"/>
      <c r="D4079" s="8"/>
      <c r="E4079" s="39"/>
      <c r="F4079" s="40"/>
    </row>
    <row r="4080" spans="2:6">
      <c r="B4080" s="8"/>
      <c r="C4080" s="8"/>
      <c r="D4080" s="8"/>
      <c r="E4080" s="39"/>
      <c r="F4080" s="40"/>
    </row>
    <row r="4081" spans="2:6">
      <c r="B4081" s="8"/>
      <c r="C4081" s="8"/>
      <c r="D4081" s="8"/>
      <c r="E4081" s="39"/>
      <c r="F4081" s="40"/>
    </row>
    <row r="4082" spans="2:6">
      <c r="B4082" s="8"/>
      <c r="C4082" s="8"/>
      <c r="D4082" s="8"/>
      <c r="E4082" s="39"/>
      <c r="F4082" s="40"/>
    </row>
    <row r="4083" spans="2:6">
      <c r="B4083" s="8"/>
      <c r="C4083" s="8"/>
      <c r="D4083" s="8"/>
      <c r="E4083" s="39"/>
      <c r="F4083" s="40"/>
    </row>
    <row r="4084" spans="2:6">
      <c r="B4084" s="8"/>
      <c r="C4084" s="8"/>
      <c r="D4084" s="8"/>
      <c r="E4084" s="39"/>
      <c r="F4084" s="40"/>
    </row>
    <row r="4085" spans="2:6">
      <c r="B4085" s="8"/>
      <c r="C4085" s="8"/>
      <c r="D4085" s="8"/>
      <c r="E4085" s="39"/>
      <c r="F4085" s="40"/>
    </row>
    <row r="4086" spans="2:6">
      <c r="B4086" s="8"/>
      <c r="C4086" s="8"/>
      <c r="D4086" s="8"/>
      <c r="E4086" s="39"/>
      <c r="F4086" s="40"/>
    </row>
    <row r="4087" spans="2:6">
      <c r="B4087" s="8"/>
      <c r="C4087" s="8"/>
      <c r="D4087" s="8"/>
      <c r="E4087" s="39"/>
      <c r="F4087" s="40"/>
    </row>
    <row r="4088" spans="2:6">
      <c r="B4088" s="8"/>
      <c r="C4088" s="8"/>
      <c r="D4088" s="8"/>
      <c r="E4088" s="39"/>
      <c r="F4088" s="40"/>
    </row>
    <row r="4089" spans="2:6">
      <c r="B4089" s="8"/>
      <c r="C4089" s="8"/>
      <c r="D4089" s="8"/>
      <c r="E4089" s="39"/>
      <c r="F4089" s="40"/>
    </row>
    <row r="4090" spans="2:6">
      <c r="B4090" s="8"/>
      <c r="C4090" s="8"/>
      <c r="D4090" s="8"/>
      <c r="E4090" s="39"/>
      <c r="F4090" s="40"/>
    </row>
    <row r="4091" spans="2:6">
      <c r="B4091" s="8"/>
      <c r="C4091" s="8"/>
      <c r="D4091" s="8"/>
      <c r="E4091" s="39"/>
      <c r="F4091" s="40"/>
    </row>
    <row r="4092" spans="2:6">
      <c r="B4092" s="8"/>
      <c r="C4092" s="8"/>
      <c r="D4092" s="8"/>
      <c r="E4092" s="39"/>
      <c r="F4092" s="40"/>
    </row>
    <row r="4093" spans="2:6">
      <c r="B4093" s="8"/>
      <c r="C4093" s="8"/>
      <c r="D4093" s="8"/>
      <c r="E4093" s="39"/>
      <c r="F4093" s="40"/>
    </row>
    <row r="4094" spans="2:6">
      <c r="B4094" s="8"/>
      <c r="C4094" s="8"/>
      <c r="D4094" s="8"/>
      <c r="E4094" s="39"/>
      <c r="F4094" s="40"/>
    </row>
    <row r="4095" spans="2:6">
      <c r="B4095" s="8"/>
      <c r="C4095" s="8"/>
      <c r="D4095" s="8"/>
      <c r="E4095" s="39"/>
      <c r="F4095" s="40"/>
    </row>
    <row r="4096" spans="2:6">
      <c r="B4096" s="8"/>
      <c r="C4096" s="8"/>
      <c r="D4096" s="8"/>
      <c r="E4096" s="39"/>
      <c r="F4096" s="40"/>
    </row>
    <row r="4097" spans="2:6">
      <c r="B4097" s="8"/>
      <c r="C4097" s="8"/>
      <c r="D4097" s="8"/>
      <c r="E4097" s="39"/>
      <c r="F4097" s="40"/>
    </row>
    <row r="4098" spans="2:6">
      <c r="B4098" s="8"/>
      <c r="C4098" s="8"/>
      <c r="D4098" s="8"/>
      <c r="E4098" s="39"/>
      <c r="F4098" s="40"/>
    </row>
    <row r="4099" spans="2:6">
      <c r="B4099" s="8"/>
      <c r="C4099" s="8"/>
      <c r="D4099" s="8"/>
      <c r="E4099" s="39"/>
      <c r="F4099" s="40"/>
    </row>
    <row r="4100" spans="2:6">
      <c r="B4100" s="8"/>
      <c r="C4100" s="8"/>
      <c r="D4100" s="8"/>
      <c r="E4100" s="39"/>
      <c r="F4100" s="40"/>
    </row>
    <row r="4101" spans="2:6">
      <c r="B4101" s="8"/>
      <c r="C4101" s="8"/>
      <c r="D4101" s="8"/>
      <c r="E4101" s="39"/>
      <c r="F4101" s="40"/>
    </row>
    <row r="4102" spans="2:6">
      <c r="B4102" s="8"/>
      <c r="C4102" s="8"/>
      <c r="D4102" s="8"/>
      <c r="E4102" s="39"/>
      <c r="F4102" s="40"/>
    </row>
    <row r="4103" spans="2:6">
      <c r="B4103" s="8"/>
      <c r="C4103" s="8"/>
      <c r="D4103" s="8"/>
      <c r="E4103" s="39"/>
      <c r="F4103" s="40"/>
    </row>
    <row r="4104" spans="2:6">
      <c r="B4104" s="8"/>
      <c r="C4104" s="8"/>
      <c r="D4104" s="8"/>
      <c r="E4104" s="39"/>
      <c r="F4104" s="40"/>
    </row>
    <row r="4105" spans="2:6">
      <c r="B4105" s="8"/>
      <c r="C4105" s="8"/>
      <c r="D4105" s="8"/>
      <c r="E4105" s="39"/>
      <c r="F4105" s="40"/>
    </row>
    <row r="4106" spans="2:6">
      <c r="B4106" s="8"/>
      <c r="C4106" s="8"/>
      <c r="D4106" s="8"/>
      <c r="E4106" s="39"/>
      <c r="F4106" s="40"/>
    </row>
    <row r="4107" spans="2:6">
      <c r="B4107" s="8"/>
      <c r="C4107" s="8"/>
      <c r="D4107" s="8"/>
      <c r="E4107" s="39"/>
      <c r="F4107" s="40"/>
    </row>
    <row r="4108" spans="2:6">
      <c r="B4108" s="8"/>
      <c r="C4108" s="8"/>
      <c r="D4108" s="8"/>
      <c r="E4108" s="39"/>
      <c r="F4108" s="40"/>
    </row>
    <row r="4109" spans="2:6">
      <c r="B4109" s="8"/>
      <c r="C4109" s="8"/>
      <c r="D4109" s="8"/>
      <c r="E4109" s="39"/>
      <c r="F4109" s="40"/>
    </row>
    <row r="4110" spans="2:6">
      <c r="B4110" s="8"/>
      <c r="C4110" s="8"/>
      <c r="D4110" s="8"/>
      <c r="E4110" s="39"/>
      <c r="F4110" s="40"/>
    </row>
    <row r="4111" spans="2:6">
      <c r="B4111" s="8"/>
      <c r="C4111" s="8"/>
      <c r="D4111" s="8"/>
      <c r="E4111" s="39"/>
      <c r="F4111" s="40"/>
    </row>
    <row r="4112" spans="2:6">
      <c r="B4112" s="8"/>
      <c r="C4112" s="8"/>
      <c r="D4112" s="8"/>
      <c r="E4112" s="39"/>
      <c r="F4112" s="40"/>
    </row>
    <row r="4113" spans="2:6">
      <c r="B4113" s="8"/>
      <c r="C4113" s="8"/>
      <c r="D4113" s="8"/>
      <c r="E4113" s="39"/>
      <c r="F4113" s="40"/>
    </row>
    <row r="4114" spans="2:6">
      <c r="B4114" s="8"/>
      <c r="C4114" s="8"/>
      <c r="D4114" s="8"/>
      <c r="E4114" s="39"/>
      <c r="F4114" s="40"/>
    </row>
    <row r="4115" spans="2:6">
      <c r="B4115" s="8"/>
      <c r="C4115" s="8"/>
      <c r="D4115" s="8"/>
      <c r="E4115" s="39"/>
      <c r="F4115" s="40"/>
    </row>
    <row r="4116" spans="2:6">
      <c r="B4116" s="8"/>
      <c r="C4116" s="8"/>
      <c r="D4116" s="8"/>
      <c r="E4116" s="39"/>
      <c r="F4116" s="40"/>
    </row>
    <row r="4117" spans="2:6">
      <c r="B4117" s="8"/>
      <c r="C4117" s="8"/>
      <c r="D4117" s="8"/>
      <c r="E4117" s="39"/>
      <c r="F4117" s="40"/>
    </row>
    <row r="4118" spans="2:6">
      <c r="B4118" s="8"/>
      <c r="C4118" s="8"/>
      <c r="D4118" s="8"/>
      <c r="E4118" s="39"/>
      <c r="F4118" s="40"/>
    </row>
    <row r="4119" spans="2:6">
      <c r="B4119" s="8"/>
      <c r="C4119" s="8"/>
      <c r="D4119" s="8"/>
      <c r="E4119" s="39"/>
      <c r="F4119" s="40"/>
    </row>
    <row r="4120" spans="2:6">
      <c r="B4120" s="8"/>
      <c r="C4120" s="8"/>
      <c r="D4120" s="8"/>
      <c r="E4120" s="39"/>
      <c r="F4120" s="40"/>
    </row>
    <row r="4121" spans="2:6">
      <c r="B4121" s="8"/>
      <c r="C4121" s="8"/>
      <c r="D4121" s="8"/>
      <c r="E4121" s="39"/>
      <c r="F4121" s="40"/>
    </row>
    <row r="4122" spans="2:6">
      <c r="B4122" s="8"/>
      <c r="C4122" s="8"/>
      <c r="D4122" s="8"/>
      <c r="E4122" s="39"/>
      <c r="F4122" s="40"/>
    </row>
    <row r="4123" spans="2:6">
      <c r="B4123" s="8"/>
      <c r="C4123" s="8"/>
      <c r="D4123" s="8"/>
      <c r="E4123" s="39"/>
      <c r="F4123" s="40"/>
    </row>
    <row r="4124" spans="2:6">
      <c r="B4124" s="8"/>
      <c r="C4124" s="8"/>
      <c r="D4124" s="8"/>
      <c r="E4124" s="39"/>
      <c r="F4124" s="40"/>
    </row>
    <row r="4125" spans="2:6">
      <c r="B4125" s="8"/>
      <c r="C4125" s="8"/>
      <c r="D4125" s="8"/>
      <c r="E4125" s="39"/>
      <c r="F4125" s="40"/>
    </row>
    <row r="4126" spans="2:6">
      <c r="B4126" s="8"/>
      <c r="C4126" s="8"/>
      <c r="D4126" s="8"/>
      <c r="E4126" s="39"/>
      <c r="F4126" s="40"/>
    </row>
    <row r="4127" spans="2:6">
      <c r="B4127" s="8"/>
      <c r="C4127" s="8"/>
      <c r="D4127" s="8"/>
      <c r="E4127" s="39"/>
      <c r="F4127" s="40"/>
    </row>
    <row r="4128" spans="2:6">
      <c r="B4128" s="8"/>
      <c r="C4128" s="8"/>
      <c r="D4128" s="8"/>
      <c r="E4128" s="39"/>
      <c r="F4128" s="40"/>
    </row>
    <row r="4129" spans="2:6">
      <c r="B4129" s="8"/>
      <c r="C4129" s="8"/>
      <c r="D4129" s="8"/>
      <c r="E4129" s="39"/>
      <c r="F4129" s="40"/>
    </row>
    <row r="4130" spans="2:6">
      <c r="B4130" s="8"/>
      <c r="C4130" s="8"/>
      <c r="D4130" s="8"/>
      <c r="E4130" s="39"/>
      <c r="F4130" s="40"/>
    </row>
    <row r="4131" spans="2:6">
      <c r="B4131" s="8"/>
      <c r="C4131" s="8"/>
      <c r="D4131" s="8"/>
      <c r="E4131" s="39"/>
      <c r="F4131" s="40"/>
    </row>
    <row r="4132" spans="2:6">
      <c r="B4132" s="8"/>
      <c r="C4132" s="8"/>
      <c r="D4132" s="8"/>
      <c r="E4132" s="39"/>
      <c r="F4132" s="40"/>
    </row>
    <row r="4133" spans="2:6">
      <c r="B4133" s="8"/>
      <c r="C4133" s="8"/>
      <c r="D4133" s="8"/>
      <c r="E4133" s="39"/>
      <c r="F4133" s="40"/>
    </row>
    <row r="4134" spans="2:6">
      <c r="B4134" s="8"/>
      <c r="C4134" s="8"/>
      <c r="D4134" s="8"/>
      <c r="E4134" s="39"/>
      <c r="F4134" s="40"/>
    </row>
    <row r="4135" spans="2:6">
      <c r="B4135" s="8"/>
      <c r="C4135" s="8"/>
      <c r="D4135" s="8"/>
      <c r="E4135" s="39"/>
      <c r="F4135" s="40"/>
    </row>
    <row r="4136" spans="2:6">
      <c r="B4136" s="8"/>
      <c r="C4136" s="8"/>
      <c r="D4136" s="8"/>
      <c r="E4136" s="39"/>
      <c r="F4136" s="40"/>
    </row>
    <row r="4137" spans="2:6">
      <c r="B4137" s="8"/>
      <c r="C4137" s="8"/>
      <c r="D4137" s="8"/>
      <c r="E4137" s="39"/>
      <c r="F4137" s="40"/>
    </row>
    <row r="4138" spans="2:6">
      <c r="B4138" s="8"/>
      <c r="C4138" s="8"/>
      <c r="D4138" s="8"/>
      <c r="E4138" s="39"/>
      <c r="F4138" s="40"/>
    </row>
    <row r="4139" spans="2:6">
      <c r="B4139" s="8"/>
      <c r="C4139" s="8"/>
      <c r="D4139" s="8"/>
      <c r="E4139" s="39"/>
      <c r="F4139" s="40"/>
    </row>
    <row r="4140" spans="2:6">
      <c r="B4140" s="8"/>
      <c r="C4140" s="8"/>
      <c r="D4140" s="8"/>
      <c r="E4140" s="39"/>
      <c r="F4140" s="40"/>
    </row>
    <row r="4141" spans="2:6">
      <c r="B4141" s="8"/>
      <c r="C4141" s="8"/>
      <c r="D4141" s="8"/>
      <c r="E4141" s="39"/>
      <c r="F4141" s="40"/>
    </row>
    <row r="4142" spans="2:6">
      <c r="B4142" s="8"/>
      <c r="C4142" s="8"/>
      <c r="D4142" s="8"/>
      <c r="E4142" s="39"/>
      <c r="F4142" s="40"/>
    </row>
    <row r="4143" spans="2:6">
      <c r="B4143" s="8"/>
      <c r="C4143" s="8"/>
      <c r="D4143" s="8"/>
      <c r="E4143" s="39"/>
      <c r="F4143" s="40"/>
    </row>
    <row r="4144" spans="2:6">
      <c r="B4144" s="8"/>
      <c r="C4144" s="8"/>
      <c r="D4144" s="8"/>
      <c r="E4144" s="39"/>
      <c r="F4144" s="40"/>
    </row>
    <row r="4145" spans="2:6">
      <c r="B4145" s="8"/>
      <c r="C4145" s="8"/>
      <c r="D4145" s="8"/>
      <c r="E4145" s="39"/>
      <c r="F4145" s="40"/>
    </row>
    <row r="4146" spans="2:6">
      <c r="B4146" s="8"/>
      <c r="C4146" s="8"/>
      <c r="D4146" s="8"/>
      <c r="E4146" s="39"/>
      <c r="F4146" s="40"/>
    </row>
    <row r="4147" spans="2:6">
      <c r="B4147" s="8"/>
      <c r="C4147" s="8"/>
      <c r="D4147" s="8"/>
      <c r="E4147" s="39"/>
      <c r="F4147" s="40"/>
    </row>
    <row r="4148" spans="2:6">
      <c r="B4148" s="8"/>
      <c r="C4148" s="8"/>
      <c r="D4148" s="8"/>
      <c r="E4148" s="39"/>
      <c r="F4148" s="40"/>
    </row>
    <row r="4149" spans="2:6">
      <c r="B4149" s="8"/>
      <c r="C4149" s="8"/>
      <c r="D4149" s="8"/>
      <c r="E4149" s="39"/>
      <c r="F4149" s="40"/>
    </row>
    <row r="4150" spans="2:6">
      <c r="B4150" s="8"/>
      <c r="C4150" s="8"/>
      <c r="D4150" s="8"/>
      <c r="E4150" s="39"/>
      <c r="F4150" s="40"/>
    </row>
    <row r="4151" spans="2:6">
      <c r="B4151" s="8"/>
      <c r="C4151" s="8"/>
      <c r="D4151" s="8"/>
      <c r="E4151" s="39"/>
      <c r="F4151" s="40"/>
    </row>
    <row r="4152" spans="2:6">
      <c r="B4152" s="8"/>
      <c r="C4152" s="8"/>
      <c r="D4152" s="8"/>
      <c r="E4152" s="39"/>
      <c r="F4152" s="40"/>
    </row>
    <row r="4153" spans="2:6">
      <c r="B4153" s="8"/>
      <c r="C4153" s="8"/>
      <c r="D4153" s="8"/>
      <c r="E4153" s="39"/>
      <c r="F4153" s="40"/>
    </row>
    <row r="4154" spans="2:6">
      <c r="B4154" s="8"/>
      <c r="C4154" s="8"/>
      <c r="D4154" s="8"/>
      <c r="E4154" s="39"/>
      <c r="F4154" s="40"/>
    </row>
    <row r="4155" spans="2:6">
      <c r="B4155" s="8"/>
      <c r="C4155" s="8"/>
      <c r="D4155" s="8"/>
      <c r="E4155" s="39"/>
      <c r="F4155" s="40"/>
    </row>
    <row r="4156" spans="2:6">
      <c r="B4156" s="8"/>
      <c r="C4156" s="8"/>
      <c r="D4156" s="8"/>
      <c r="E4156" s="39"/>
      <c r="F4156" s="40"/>
    </row>
    <row r="4157" spans="2:6">
      <c r="B4157" s="8"/>
      <c r="C4157" s="8"/>
      <c r="D4157" s="8"/>
      <c r="E4157" s="39"/>
      <c r="F4157" s="40"/>
    </row>
    <row r="4158" spans="2:6">
      <c r="B4158" s="8"/>
      <c r="C4158" s="8"/>
      <c r="D4158" s="8"/>
      <c r="E4158" s="39"/>
      <c r="F4158" s="40"/>
    </row>
    <row r="4159" spans="2:6">
      <c r="B4159" s="8"/>
      <c r="C4159" s="8"/>
      <c r="D4159" s="8"/>
      <c r="E4159" s="39"/>
      <c r="F4159" s="40"/>
    </row>
    <row r="4160" spans="2:6">
      <c r="B4160" s="8"/>
      <c r="C4160" s="8"/>
      <c r="D4160" s="8"/>
      <c r="E4160" s="39"/>
      <c r="F4160" s="40"/>
    </row>
    <row r="4161" spans="2:6">
      <c r="B4161" s="8"/>
      <c r="C4161" s="8"/>
      <c r="D4161" s="8"/>
      <c r="E4161" s="39"/>
      <c r="F4161" s="40"/>
    </row>
    <row r="4162" spans="2:6">
      <c r="B4162" s="8"/>
      <c r="C4162" s="8"/>
      <c r="D4162" s="8"/>
      <c r="E4162" s="39"/>
      <c r="F4162" s="40"/>
    </row>
    <row r="4163" spans="2:6">
      <c r="B4163" s="8"/>
      <c r="C4163" s="8"/>
      <c r="D4163" s="8"/>
      <c r="E4163" s="39"/>
      <c r="F4163" s="40"/>
    </row>
    <row r="4164" spans="2:6">
      <c r="B4164" s="8"/>
      <c r="C4164" s="8"/>
      <c r="D4164" s="8"/>
      <c r="E4164" s="39"/>
      <c r="F4164" s="40"/>
    </row>
    <row r="4165" spans="2:6">
      <c r="B4165" s="8"/>
      <c r="C4165" s="8"/>
      <c r="D4165" s="8"/>
      <c r="E4165" s="39"/>
      <c r="F4165" s="40"/>
    </row>
    <row r="4166" spans="2:6">
      <c r="B4166" s="8"/>
      <c r="C4166" s="8"/>
      <c r="D4166" s="8"/>
      <c r="E4166" s="39"/>
      <c r="F4166" s="40"/>
    </row>
    <row r="4167" spans="2:6">
      <c r="B4167" s="8"/>
      <c r="C4167" s="8"/>
      <c r="D4167" s="8"/>
      <c r="E4167" s="39"/>
      <c r="F4167" s="40"/>
    </row>
    <row r="4168" spans="2:6">
      <c r="B4168" s="8"/>
      <c r="C4168" s="8"/>
      <c r="D4168" s="8"/>
      <c r="E4168" s="39"/>
      <c r="F4168" s="40"/>
    </row>
    <row r="4169" spans="2:6">
      <c r="B4169" s="8"/>
      <c r="C4169" s="8"/>
      <c r="D4169" s="8"/>
      <c r="E4169" s="39"/>
      <c r="F4169" s="40"/>
    </row>
    <row r="4170" spans="2:6">
      <c r="B4170" s="8"/>
      <c r="C4170" s="8"/>
      <c r="D4170" s="8"/>
      <c r="E4170" s="39"/>
      <c r="F4170" s="40"/>
    </row>
    <row r="4171" spans="2:6">
      <c r="B4171" s="8"/>
      <c r="C4171" s="8"/>
      <c r="D4171" s="8"/>
      <c r="E4171" s="39"/>
      <c r="F4171" s="40"/>
    </row>
    <row r="4172" spans="2:6">
      <c r="B4172" s="8"/>
      <c r="C4172" s="8"/>
      <c r="D4172" s="8"/>
      <c r="E4172" s="39"/>
      <c r="F4172" s="40"/>
    </row>
    <row r="4173" spans="2:6">
      <c r="B4173" s="8"/>
      <c r="C4173" s="8"/>
      <c r="D4173" s="8"/>
      <c r="E4173" s="39"/>
      <c r="F4173" s="40"/>
    </row>
    <row r="4174" spans="2:6">
      <c r="B4174" s="8"/>
      <c r="C4174" s="8"/>
      <c r="D4174" s="8"/>
      <c r="E4174" s="39"/>
      <c r="F4174" s="40"/>
    </row>
    <row r="4175" spans="2:6">
      <c r="B4175" s="8"/>
      <c r="C4175" s="8"/>
      <c r="D4175" s="8"/>
      <c r="E4175" s="39"/>
      <c r="F4175" s="40"/>
    </row>
    <row r="4176" spans="2:6">
      <c r="B4176" s="8"/>
      <c r="C4176" s="8"/>
      <c r="D4176" s="8"/>
      <c r="E4176" s="39"/>
      <c r="F4176" s="40"/>
    </row>
    <row r="4177" spans="2:6">
      <c r="B4177" s="8"/>
      <c r="C4177" s="8"/>
      <c r="D4177" s="8"/>
      <c r="E4177" s="39"/>
      <c r="F4177" s="40"/>
    </row>
    <row r="4178" spans="2:6">
      <c r="B4178" s="8"/>
      <c r="C4178" s="8"/>
      <c r="D4178" s="8"/>
      <c r="E4178" s="39"/>
      <c r="F4178" s="40"/>
    </row>
    <row r="4179" spans="2:6">
      <c r="B4179" s="8"/>
      <c r="C4179" s="8"/>
      <c r="D4179" s="8"/>
      <c r="E4179" s="39"/>
      <c r="F4179" s="40"/>
    </row>
    <row r="4180" spans="2:6">
      <c r="B4180" s="8"/>
      <c r="C4180" s="8"/>
      <c r="D4180" s="8"/>
      <c r="E4180" s="39"/>
      <c r="F4180" s="40"/>
    </row>
    <row r="4181" spans="2:6">
      <c r="B4181" s="8"/>
      <c r="C4181" s="8"/>
      <c r="D4181" s="8"/>
      <c r="E4181" s="39"/>
      <c r="F4181" s="40"/>
    </row>
    <row r="4182" spans="2:6">
      <c r="B4182" s="8"/>
      <c r="C4182" s="8"/>
      <c r="D4182" s="8"/>
      <c r="E4182" s="39"/>
      <c r="F4182" s="40"/>
    </row>
    <row r="4183" spans="2:6">
      <c r="B4183" s="8"/>
      <c r="C4183" s="8"/>
      <c r="D4183" s="8"/>
      <c r="E4183" s="39"/>
      <c r="F4183" s="40"/>
    </row>
    <row r="4184" spans="2:6">
      <c r="B4184" s="8"/>
      <c r="C4184" s="8"/>
      <c r="D4184" s="8"/>
      <c r="E4184" s="39"/>
      <c r="F4184" s="40"/>
    </row>
    <row r="4185" spans="2:6">
      <c r="B4185" s="8"/>
      <c r="C4185" s="8"/>
      <c r="D4185" s="8"/>
      <c r="E4185" s="39"/>
      <c r="F4185" s="40"/>
    </row>
    <row r="4186" spans="2:6">
      <c r="B4186" s="8"/>
      <c r="C4186" s="8"/>
      <c r="D4186" s="8"/>
      <c r="E4186" s="39"/>
      <c r="F4186" s="40"/>
    </row>
    <row r="4187" spans="2:6">
      <c r="B4187" s="8"/>
      <c r="C4187" s="8"/>
      <c r="D4187" s="8"/>
      <c r="E4187" s="39"/>
      <c r="F4187" s="40"/>
    </row>
    <row r="4188" spans="2:6">
      <c r="B4188" s="8"/>
      <c r="C4188" s="8"/>
      <c r="D4188" s="8"/>
      <c r="E4188" s="39"/>
      <c r="F4188" s="40"/>
    </row>
    <row r="4189" spans="2:6">
      <c r="B4189" s="8"/>
      <c r="C4189" s="8"/>
      <c r="D4189" s="8"/>
      <c r="E4189" s="39"/>
      <c r="F4189" s="40"/>
    </row>
    <row r="4190" spans="2:6">
      <c r="B4190" s="8"/>
      <c r="C4190" s="8"/>
      <c r="D4190" s="8"/>
      <c r="E4190" s="39"/>
      <c r="F4190" s="40"/>
    </row>
    <row r="4191" spans="2:6">
      <c r="B4191" s="8"/>
      <c r="C4191" s="8"/>
      <c r="D4191" s="8"/>
      <c r="E4191" s="39"/>
      <c r="F4191" s="40"/>
    </row>
    <row r="4192" spans="2:6">
      <c r="B4192" s="8"/>
      <c r="C4192" s="8"/>
      <c r="D4192" s="8"/>
      <c r="E4192" s="39"/>
      <c r="F4192" s="40"/>
    </row>
    <row r="4193" spans="2:6">
      <c r="B4193" s="8"/>
      <c r="C4193" s="8"/>
      <c r="D4193" s="8"/>
      <c r="E4193" s="39"/>
      <c r="F4193" s="40"/>
    </row>
    <row r="4194" spans="2:6">
      <c r="B4194" s="8"/>
      <c r="C4194" s="8"/>
      <c r="D4194" s="8"/>
      <c r="E4194" s="39"/>
      <c r="F4194" s="40"/>
    </row>
    <row r="4195" spans="2:6">
      <c r="B4195" s="8"/>
      <c r="C4195" s="8"/>
      <c r="D4195" s="8"/>
      <c r="E4195" s="39"/>
      <c r="F4195" s="40"/>
    </row>
    <row r="4196" spans="2:6">
      <c r="B4196" s="8"/>
      <c r="C4196" s="8"/>
      <c r="D4196" s="8"/>
      <c r="E4196" s="39"/>
      <c r="F4196" s="40"/>
    </row>
    <row r="4197" spans="2:6">
      <c r="B4197" s="8"/>
      <c r="C4197" s="8"/>
      <c r="D4197" s="8"/>
      <c r="E4197" s="39"/>
      <c r="F4197" s="40"/>
    </row>
    <row r="4198" spans="2:6">
      <c r="B4198" s="8"/>
      <c r="C4198" s="8"/>
      <c r="D4198" s="8"/>
      <c r="E4198" s="39"/>
      <c r="F4198" s="40"/>
    </row>
    <row r="4199" spans="2:6">
      <c r="B4199" s="8"/>
      <c r="C4199" s="8"/>
      <c r="D4199" s="8"/>
      <c r="E4199" s="39"/>
      <c r="F4199" s="40"/>
    </row>
    <row r="4200" spans="2:6">
      <c r="B4200" s="8"/>
      <c r="C4200" s="8"/>
      <c r="D4200" s="8"/>
      <c r="E4200" s="39"/>
      <c r="F4200" s="40"/>
    </row>
    <row r="4201" spans="2:6">
      <c r="B4201" s="8"/>
      <c r="C4201" s="8"/>
      <c r="D4201" s="8"/>
      <c r="E4201" s="39"/>
      <c r="F4201" s="40"/>
    </row>
    <row r="4202" spans="2:6">
      <c r="B4202" s="8"/>
      <c r="C4202" s="8"/>
      <c r="D4202" s="8"/>
      <c r="E4202" s="39"/>
      <c r="F4202" s="40"/>
    </row>
    <row r="4203" spans="2:6">
      <c r="B4203" s="8"/>
      <c r="C4203" s="8"/>
      <c r="D4203" s="8"/>
      <c r="E4203" s="39"/>
      <c r="F4203" s="40"/>
    </row>
    <row r="4204" spans="2:6">
      <c r="B4204" s="8"/>
      <c r="C4204" s="8"/>
      <c r="D4204" s="8"/>
      <c r="E4204" s="39"/>
      <c r="F4204" s="40"/>
    </row>
    <row r="4205" spans="2:6">
      <c r="B4205" s="8"/>
      <c r="C4205" s="8"/>
      <c r="D4205" s="8"/>
      <c r="E4205" s="39"/>
      <c r="F4205" s="40"/>
    </row>
    <row r="4206" spans="2:6">
      <c r="B4206" s="8"/>
      <c r="C4206" s="8"/>
      <c r="D4206" s="8"/>
      <c r="E4206" s="39"/>
      <c r="F4206" s="40"/>
    </row>
    <row r="4207" spans="2:6">
      <c r="B4207" s="8"/>
      <c r="C4207" s="8"/>
      <c r="D4207" s="8"/>
      <c r="E4207" s="39"/>
      <c r="F4207" s="40"/>
    </row>
    <row r="4208" spans="2:6">
      <c r="B4208" s="8"/>
      <c r="C4208" s="8"/>
      <c r="D4208" s="8"/>
      <c r="E4208" s="39"/>
      <c r="F4208" s="40"/>
    </row>
    <row r="4209" spans="2:6">
      <c r="B4209" s="8"/>
      <c r="C4209" s="8"/>
      <c r="D4209" s="8"/>
      <c r="E4209" s="39"/>
      <c r="F4209" s="40"/>
    </row>
    <row r="4210" spans="2:6">
      <c r="B4210" s="8"/>
      <c r="C4210" s="8"/>
      <c r="D4210" s="8"/>
      <c r="E4210" s="39"/>
      <c r="F4210" s="40"/>
    </row>
    <row r="4211" spans="2:6">
      <c r="B4211" s="8"/>
      <c r="C4211" s="8"/>
      <c r="D4211" s="8"/>
      <c r="E4211" s="39"/>
      <c r="F4211" s="40"/>
    </row>
    <row r="4212" spans="2:6">
      <c r="B4212" s="8"/>
      <c r="C4212" s="8"/>
      <c r="D4212" s="8"/>
      <c r="E4212" s="39"/>
      <c r="F4212" s="40"/>
    </row>
    <row r="4213" spans="2:6">
      <c r="B4213" s="8"/>
      <c r="C4213" s="8"/>
      <c r="D4213" s="8"/>
      <c r="E4213" s="39"/>
      <c r="F4213" s="40"/>
    </row>
    <row r="4214" spans="2:6">
      <c r="B4214" s="8"/>
      <c r="C4214" s="8"/>
      <c r="D4214" s="8"/>
      <c r="E4214" s="39"/>
      <c r="F4214" s="40"/>
    </row>
    <row r="4215" spans="2:6">
      <c r="B4215" s="8"/>
      <c r="C4215" s="8"/>
      <c r="D4215" s="8"/>
      <c r="E4215" s="39"/>
      <c r="F4215" s="40"/>
    </row>
    <row r="4216" spans="2:6">
      <c r="B4216" s="8"/>
      <c r="C4216" s="8"/>
      <c r="D4216" s="8"/>
      <c r="E4216" s="39"/>
      <c r="F4216" s="40"/>
    </row>
    <row r="4217" spans="2:6">
      <c r="B4217" s="8"/>
      <c r="C4217" s="8"/>
      <c r="D4217" s="8"/>
      <c r="E4217" s="39"/>
      <c r="F4217" s="40"/>
    </row>
    <row r="4218" spans="2:6">
      <c r="B4218" s="8"/>
      <c r="C4218" s="8"/>
      <c r="D4218" s="8"/>
      <c r="E4218" s="39"/>
      <c r="F4218" s="40"/>
    </row>
    <row r="4219" spans="2:6">
      <c r="B4219" s="8"/>
      <c r="C4219" s="8"/>
      <c r="D4219" s="8"/>
      <c r="E4219" s="39"/>
      <c r="F4219" s="40"/>
    </row>
    <row r="4220" spans="2:6">
      <c r="B4220" s="8"/>
      <c r="C4220" s="8"/>
      <c r="D4220" s="8"/>
      <c r="E4220" s="39"/>
      <c r="F4220" s="40"/>
    </row>
    <row r="4221" spans="2:6">
      <c r="B4221" s="8"/>
      <c r="C4221" s="8"/>
      <c r="D4221" s="8"/>
      <c r="E4221" s="39"/>
      <c r="F4221" s="40"/>
    </row>
    <row r="4222" spans="2:6">
      <c r="B4222" s="8"/>
      <c r="C4222" s="8"/>
      <c r="D4222" s="8"/>
      <c r="E4222" s="39"/>
      <c r="F4222" s="40"/>
    </row>
    <row r="4223" spans="2:6">
      <c r="B4223" s="8"/>
      <c r="C4223" s="8"/>
      <c r="D4223" s="8"/>
      <c r="E4223" s="39"/>
      <c r="F4223" s="40"/>
    </row>
    <row r="4224" spans="2:6">
      <c r="B4224" s="8"/>
      <c r="C4224" s="8"/>
      <c r="D4224" s="8"/>
      <c r="E4224" s="39"/>
      <c r="F4224" s="40"/>
    </row>
    <row r="4225" spans="2:6">
      <c r="B4225" s="8"/>
      <c r="C4225" s="8"/>
      <c r="D4225" s="8"/>
      <c r="E4225" s="39"/>
      <c r="F4225" s="40"/>
    </row>
    <row r="4226" spans="2:6">
      <c r="B4226" s="8"/>
      <c r="C4226" s="8"/>
      <c r="D4226" s="8"/>
      <c r="E4226" s="39"/>
      <c r="F4226" s="40"/>
    </row>
    <row r="4227" spans="2:6">
      <c r="B4227" s="8"/>
      <c r="C4227" s="8"/>
      <c r="D4227" s="8"/>
      <c r="E4227" s="39"/>
      <c r="F4227" s="40"/>
    </row>
    <row r="4228" spans="2:6">
      <c r="B4228" s="8"/>
      <c r="C4228" s="8"/>
      <c r="D4228" s="8"/>
      <c r="E4228" s="39"/>
      <c r="F4228" s="40"/>
    </row>
    <row r="4229" spans="2:6">
      <c r="B4229" s="8"/>
      <c r="C4229" s="8"/>
      <c r="D4229" s="8"/>
      <c r="E4229" s="39"/>
      <c r="F4229" s="40"/>
    </row>
    <row r="4230" spans="2:6">
      <c r="B4230" s="8"/>
      <c r="C4230" s="8"/>
      <c r="D4230" s="8"/>
      <c r="E4230" s="39"/>
      <c r="F4230" s="40"/>
    </row>
    <row r="4231" spans="2:6">
      <c r="B4231" s="8"/>
      <c r="C4231" s="8"/>
      <c r="D4231" s="8"/>
      <c r="E4231" s="39"/>
      <c r="F4231" s="40"/>
    </row>
    <row r="4232" spans="2:6">
      <c r="B4232" s="8"/>
      <c r="C4232" s="8"/>
      <c r="D4232" s="8"/>
      <c r="E4232" s="39"/>
      <c r="F4232" s="40"/>
    </row>
    <row r="4233" spans="2:6">
      <c r="B4233" s="8"/>
      <c r="C4233" s="8"/>
      <c r="D4233" s="8"/>
      <c r="E4233" s="39"/>
      <c r="F4233" s="40"/>
    </row>
    <row r="4234" spans="2:6">
      <c r="B4234" s="8"/>
      <c r="C4234" s="8"/>
      <c r="D4234" s="8"/>
      <c r="E4234" s="39"/>
      <c r="F4234" s="40"/>
    </row>
    <row r="4235" spans="2:6">
      <c r="B4235" s="8"/>
      <c r="C4235" s="8"/>
      <c r="D4235" s="8"/>
      <c r="E4235" s="39"/>
      <c r="F4235" s="40"/>
    </row>
    <row r="4236" spans="2:6">
      <c r="B4236" s="8"/>
      <c r="C4236" s="8"/>
      <c r="D4236" s="8"/>
      <c r="E4236" s="39"/>
      <c r="F4236" s="40"/>
    </row>
    <row r="4237" spans="2:6">
      <c r="B4237" s="8"/>
      <c r="C4237" s="8"/>
      <c r="D4237" s="8"/>
      <c r="E4237" s="39"/>
      <c r="F4237" s="40"/>
    </row>
    <row r="4238" spans="2:6">
      <c r="B4238" s="8"/>
      <c r="C4238" s="8"/>
      <c r="D4238" s="8"/>
      <c r="E4238" s="39"/>
      <c r="F4238" s="40"/>
    </row>
    <row r="4239" spans="2:6">
      <c r="B4239" s="8"/>
      <c r="C4239" s="8"/>
      <c r="D4239" s="8"/>
      <c r="E4239" s="39"/>
      <c r="F4239" s="40"/>
    </row>
    <row r="4240" spans="2:6">
      <c r="B4240" s="8"/>
      <c r="C4240" s="8"/>
      <c r="D4240" s="8"/>
      <c r="E4240" s="39"/>
      <c r="F4240" s="40"/>
    </row>
    <row r="4241" spans="2:6">
      <c r="B4241" s="8"/>
      <c r="C4241" s="8"/>
      <c r="D4241" s="8"/>
      <c r="E4241" s="39"/>
      <c r="F4241" s="40"/>
    </row>
    <row r="4242" spans="2:6">
      <c r="B4242" s="8"/>
      <c r="C4242" s="8"/>
      <c r="D4242" s="8"/>
      <c r="E4242" s="39"/>
      <c r="F4242" s="40"/>
    </row>
    <row r="4243" spans="2:6">
      <c r="B4243" s="8"/>
      <c r="C4243" s="8"/>
      <c r="D4243" s="8"/>
      <c r="E4243" s="39"/>
      <c r="F4243" s="40"/>
    </row>
    <row r="4244" spans="2:6">
      <c r="B4244" s="8"/>
      <c r="C4244" s="8"/>
      <c r="D4244" s="8"/>
      <c r="E4244" s="39"/>
      <c r="F4244" s="40"/>
    </row>
    <row r="4245" spans="2:6">
      <c r="B4245" s="8"/>
      <c r="C4245" s="8"/>
      <c r="D4245" s="8"/>
      <c r="E4245" s="39"/>
      <c r="F4245" s="40"/>
    </row>
    <row r="4246" spans="2:6">
      <c r="B4246" s="8"/>
      <c r="C4246" s="8"/>
      <c r="D4246" s="8"/>
      <c r="E4246" s="39"/>
      <c r="F4246" s="40"/>
    </row>
    <row r="4247" spans="2:6">
      <c r="B4247" s="8"/>
      <c r="C4247" s="8"/>
      <c r="D4247" s="8"/>
      <c r="E4247" s="39"/>
      <c r="F4247" s="40"/>
    </row>
    <row r="4248" spans="2:6">
      <c r="B4248" s="8"/>
      <c r="C4248" s="8"/>
      <c r="D4248" s="8"/>
      <c r="E4248" s="39"/>
      <c r="F4248" s="40"/>
    </row>
    <row r="4249" spans="2:6">
      <c r="B4249" s="8"/>
      <c r="C4249" s="8"/>
      <c r="D4249" s="8"/>
      <c r="E4249" s="39"/>
      <c r="F4249" s="40"/>
    </row>
    <row r="4250" spans="2:6">
      <c r="B4250" s="8"/>
      <c r="C4250" s="8"/>
      <c r="D4250" s="8"/>
      <c r="E4250" s="39"/>
      <c r="F4250" s="40"/>
    </row>
    <row r="4251" spans="2:6">
      <c r="B4251" s="8"/>
      <c r="C4251" s="8"/>
      <c r="D4251" s="8"/>
      <c r="E4251" s="39"/>
      <c r="F4251" s="40"/>
    </row>
    <row r="4252" spans="2:6">
      <c r="B4252" s="8"/>
      <c r="C4252" s="8"/>
      <c r="D4252" s="8"/>
      <c r="E4252" s="39"/>
      <c r="F4252" s="40"/>
    </row>
    <row r="4253" spans="2:6">
      <c r="B4253" s="8"/>
      <c r="C4253" s="8"/>
      <c r="D4253" s="8"/>
      <c r="E4253" s="39"/>
      <c r="F4253" s="40"/>
    </row>
    <row r="4254" spans="2:6">
      <c r="B4254" s="8"/>
      <c r="C4254" s="8"/>
      <c r="D4254" s="8"/>
      <c r="E4254" s="39"/>
      <c r="F4254" s="40"/>
    </row>
    <row r="4255" spans="2:6">
      <c r="B4255" s="8"/>
      <c r="C4255" s="8"/>
      <c r="D4255" s="8"/>
      <c r="E4255" s="39"/>
      <c r="F4255" s="40"/>
    </row>
    <row r="4256" spans="2:6">
      <c r="B4256" s="8"/>
      <c r="C4256" s="8"/>
      <c r="D4256" s="8"/>
      <c r="E4256" s="39"/>
      <c r="F4256" s="40"/>
    </row>
    <row r="4257" spans="2:6">
      <c r="B4257" s="8"/>
      <c r="C4257" s="8"/>
      <c r="D4257" s="8"/>
      <c r="E4257" s="39"/>
      <c r="F4257" s="40"/>
    </row>
    <row r="4258" spans="2:6">
      <c r="B4258" s="8"/>
      <c r="C4258" s="8"/>
      <c r="D4258" s="8"/>
      <c r="E4258" s="39"/>
      <c r="F4258" s="40"/>
    </row>
    <row r="4259" spans="2:6">
      <c r="B4259" s="8"/>
      <c r="C4259" s="8"/>
      <c r="D4259" s="8"/>
      <c r="E4259" s="39"/>
      <c r="F4259" s="40"/>
    </row>
    <row r="4260" spans="2:6">
      <c r="B4260" s="8"/>
      <c r="C4260" s="8"/>
      <c r="D4260" s="8"/>
      <c r="E4260" s="39"/>
      <c r="F4260" s="40"/>
    </row>
    <row r="4261" spans="2:6">
      <c r="B4261" s="8"/>
      <c r="C4261" s="8"/>
      <c r="D4261" s="8"/>
      <c r="E4261" s="39"/>
      <c r="F4261" s="40"/>
    </row>
    <row r="4262" spans="2:6">
      <c r="B4262" s="8"/>
      <c r="C4262" s="8"/>
      <c r="D4262" s="8"/>
      <c r="E4262" s="39"/>
      <c r="F4262" s="40"/>
    </row>
    <row r="4263" spans="2:6">
      <c r="B4263" s="8"/>
      <c r="C4263" s="8"/>
      <c r="D4263" s="8"/>
      <c r="E4263" s="39"/>
      <c r="F4263" s="40"/>
    </row>
    <row r="4264" spans="2:6">
      <c r="B4264" s="8"/>
      <c r="C4264" s="8"/>
      <c r="D4264" s="8"/>
      <c r="E4264" s="39"/>
      <c r="F4264" s="40"/>
    </row>
    <row r="4265" spans="2:6">
      <c r="B4265" s="8"/>
      <c r="C4265" s="8"/>
      <c r="D4265" s="8"/>
      <c r="E4265" s="39"/>
      <c r="F4265" s="40"/>
    </row>
    <row r="4266" spans="2:6">
      <c r="B4266" s="8"/>
      <c r="C4266" s="8"/>
      <c r="D4266" s="8"/>
      <c r="E4266" s="39"/>
      <c r="F4266" s="40"/>
    </row>
    <row r="4267" spans="2:6">
      <c r="B4267" s="8"/>
      <c r="C4267" s="8"/>
      <c r="D4267" s="8"/>
      <c r="E4267" s="39"/>
      <c r="F4267" s="40"/>
    </row>
    <row r="4268" spans="2:6">
      <c r="B4268" s="8"/>
      <c r="C4268" s="8"/>
      <c r="D4268" s="8"/>
      <c r="E4268" s="39"/>
      <c r="F4268" s="40"/>
    </row>
    <row r="4269" spans="2:6">
      <c r="B4269" s="8"/>
      <c r="C4269" s="8"/>
      <c r="D4269" s="8"/>
      <c r="E4269" s="39"/>
      <c r="F4269" s="40"/>
    </row>
    <row r="4270" spans="2:6">
      <c r="B4270" s="8"/>
      <c r="C4270" s="8"/>
      <c r="D4270" s="8"/>
      <c r="E4270" s="39"/>
      <c r="F4270" s="40"/>
    </row>
    <row r="4271" spans="2:6">
      <c r="B4271" s="8"/>
      <c r="C4271" s="8"/>
      <c r="D4271" s="8"/>
      <c r="E4271" s="39"/>
      <c r="F4271" s="40"/>
    </row>
    <row r="4272" spans="2:6">
      <c r="B4272" s="8"/>
      <c r="C4272" s="8"/>
      <c r="D4272" s="8"/>
      <c r="E4272" s="39"/>
      <c r="F4272" s="40"/>
    </row>
    <row r="4273" spans="2:6">
      <c r="B4273" s="8"/>
      <c r="C4273" s="8"/>
      <c r="D4273" s="8"/>
      <c r="E4273" s="39"/>
      <c r="F4273" s="40"/>
    </row>
    <row r="4274" spans="2:6">
      <c r="B4274" s="8"/>
      <c r="C4274" s="8"/>
      <c r="D4274" s="8"/>
      <c r="E4274" s="39"/>
      <c r="F4274" s="40"/>
    </row>
    <row r="4275" spans="2:6">
      <c r="B4275" s="8"/>
      <c r="C4275" s="8"/>
      <c r="D4275" s="8"/>
      <c r="E4275" s="39"/>
      <c r="F4275" s="40"/>
    </row>
    <row r="4276" spans="2:6">
      <c r="B4276" s="8"/>
      <c r="C4276" s="8"/>
      <c r="D4276" s="8"/>
      <c r="E4276" s="39"/>
      <c r="F4276" s="40"/>
    </row>
    <row r="4277" spans="2:6">
      <c r="B4277" s="8"/>
      <c r="C4277" s="8"/>
      <c r="D4277" s="8"/>
      <c r="E4277" s="39"/>
      <c r="F4277" s="40"/>
    </row>
    <row r="4278" spans="2:6">
      <c r="B4278" s="8"/>
      <c r="C4278" s="8"/>
      <c r="D4278" s="8"/>
      <c r="E4278" s="39"/>
      <c r="F4278" s="40"/>
    </row>
    <row r="4279" spans="2:6">
      <c r="B4279" s="8"/>
      <c r="C4279" s="8"/>
      <c r="D4279" s="8"/>
      <c r="E4279" s="39"/>
      <c r="F4279" s="40"/>
    </row>
    <row r="4280" spans="2:6">
      <c r="B4280" s="8"/>
      <c r="C4280" s="8"/>
      <c r="D4280" s="8"/>
      <c r="E4280" s="39"/>
      <c r="F4280" s="40"/>
    </row>
    <row r="4281" spans="2:6">
      <c r="B4281" s="8"/>
      <c r="C4281" s="8"/>
      <c r="D4281" s="8"/>
      <c r="E4281" s="39"/>
      <c r="F4281" s="40"/>
    </row>
    <row r="4282" spans="2:6">
      <c r="B4282" s="8"/>
      <c r="C4282" s="8"/>
      <c r="D4282" s="8"/>
      <c r="E4282" s="39"/>
      <c r="F4282" s="40"/>
    </row>
    <row r="4283" spans="2:6">
      <c r="B4283" s="8"/>
      <c r="C4283" s="8"/>
      <c r="D4283" s="8"/>
      <c r="E4283" s="39"/>
      <c r="F4283" s="40"/>
    </row>
    <row r="4284" spans="2:6">
      <c r="B4284" s="8"/>
      <c r="C4284" s="8"/>
      <c r="D4284" s="8"/>
      <c r="E4284" s="39"/>
      <c r="F4284" s="40"/>
    </row>
    <row r="4285" spans="2:6">
      <c r="B4285" s="8"/>
      <c r="C4285" s="8"/>
      <c r="D4285" s="8"/>
      <c r="E4285" s="39"/>
      <c r="F4285" s="40"/>
    </row>
    <row r="4286" spans="2:6">
      <c r="B4286" s="8"/>
      <c r="C4286" s="8"/>
      <c r="D4286" s="8"/>
      <c r="E4286" s="39"/>
      <c r="F4286" s="40"/>
    </row>
    <row r="4287" spans="2:6">
      <c r="B4287" s="8"/>
      <c r="C4287" s="8"/>
      <c r="D4287" s="8"/>
      <c r="E4287" s="39"/>
      <c r="F4287" s="40"/>
    </row>
    <row r="4288" spans="2:6">
      <c r="B4288" s="8"/>
      <c r="C4288" s="8"/>
      <c r="D4288" s="8"/>
      <c r="E4288" s="39"/>
      <c r="F4288" s="40"/>
    </row>
    <row r="4289" spans="2:6">
      <c r="B4289" s="8"/>
      <c r="C4289" s="8"/>
      <c r="D4289" s="8"/>
      <c r="E4289" s="39"/>
      <c r="F4289" s="40"/>
    </row>
    <row r="4290" spans="2:6">
      <c r="B4290" s="8"/>
      <c r="C4290" s="8"/>
      <c r="D4290" s="8"/>
      <c r="E4290" s="39"/>
      <c r="F4290" s="40"/>
    </row>
    <row r="4291" spans="2:6">
      <c r="B4291" s="8"/>
      <c r="C4291" s="8"/>
      <c r="D4291" s="8"/>
      <c r="E4291" s="39"/>
      <c r="F4291" s="40"/>
    </row>
    <row r="4292" spans="2:6">
      <c r="B4292" s="8"/>
      <c r="C4292" s="8"/>
      <c r="D4292" s="8"/>
      <c r="E4292" s="39"/>
      <c r="F4292" s="40"/>
    </row>
    <row r="4293" spans="2:6">
      <c r="B4293" s="8"/>
      <c r="C4293" s="8"/>
      <c r="D4293" s="8"/>
      <c r="E4293" s="39"/>
      <c r="F4293" s="40"/>
    </row>
    <row r="4294" spans="2:6">
      <c r="B4294" s="8"/>
      <c r="C4294" s="8"/>
      <c r="D4294" s="8"/>
      <c r="E4294" s="39"/>
      <c r="F4294" s="40"/>
    </row>
    <row r="4295" spans="2:6">
      <c r="B4295" s="8"/>
      <c r="C4295" s="8"/>
      <c r="D4295" s="8"/>
      <c r="E4295" s="39"/>
      <c r="F4295" s="40"/>
    </row>
    <row r="4296" spans="2:6">
      <c r="B4296" s="8"/>
      <c r="C4296" s="8"/>
      <c r="D4296" s="8"/>
      <c r="E4296" s="39"/>
      <c r="F4296" s="40"/>
    </row>
    <row r="4297" spans="2:6">
      <c r="B4297" s="8"/>
      <c r="C4297" s="8"/>
      <c r="D4297" s="8"/>
      <c r="E4297" s="39"/>
      <c r="F4297" s="40"/>
    </row>
    <row r="4298" spans="2:6">
      <c r="B4298" s="8"/>
      <c r="C4298" s="8"/>
      <c r="D4298" s="8"/>
      <c r="E4298" s="39"/>
      <c r="F4298" s="40"/>
    </row>
    <row r="4299" spans="2:6">
      <c r="B4299" s="8"/>
      <c r="C4299" s="8"/>
      <c r="D4299" s="8"/>
      <c r="E4299" s="39"/>
      <c r="F4299" s="40"/>
    </row>
    <row r="4300" spans="2:6">
      <c r="B4300" s="8"/>
      <c r="C4300" s="8"/>
      <c r="D4300" s="8"/>
      <c r="E4300" s="39"/>
      <c r="F4300" s="40"/>
    </row>
    <row r="4301" spans="2:6">
      <c r="B4301" s="8"/>
      <c r="C4301" s="8"/>
      <c r="D4301" s="8"/>
      <c r="E4301" s="39"/>
      <c r="F4301" s="40"/>
    </row>
    <row r="4302" spans="2:6">
      <c r="B4302" s="8"/>
      <c r="C4302" s="8"/>
      <c r="D4302" s="8"/>
      <c r="E4302" s="39"/>
      <c r="F4302" s="40"/>
    </row>
    <row r="4303" spans="2:6">
      <c r="B4303" s="8"/>
      <c r="C4303" s="8"/>
      <c r="D4303" s="8"/>
      <c r="E4303" s="39"/>
      <c r="F4303" s="40"/>
    </row>
    <row r="4304" spans="2:6">
      <c r="B4304" s="8"/>
      <c r="C4304" s="8"/>
      <c r="D4304" s="8"/>
      <c r="E4304" s="39"/>
      <c r="F4304" s="40"/>
    </row>
    <row r="4305" spans="2:6">
      <c r="B4305" s="8"/>
      <c r="C4305" s="8"/>
      <c r="D4305" s="8"/>
      <c r="E4305" s="39"/>
      <c r="F4305" s="40"/>
    </row>
    <row r="4306" spans="2:6">
      <c r="B4306" s="8"/>
      <c r="C4306" s="8"/>
      <c r="D4306" s="8"/>
      <c r="E4306" s="39"/>
      <c r="F4306" s="40"/>
    </row>
    <row r="4307" spans="2:6">
      <c r="B4307" s="8"/>
      <c r="C4307" s="8"/>
      <c r="D4307" s="8"/>
      <c r="E4307" s="39"/>
      <c r="F4307" s="40"/>
    </row>
    <row r="4308" spans="2:6">
      <c r="B4308" s="8"/>
      <c r="C4308" s="8"/>
      <c r="D4308" s="8"/>
      <c r="E4308" s="39"/>
      <c r="F4308" s="40"/>
    </row>
    <row r="4309" spans="2:6">
      <c r="B4309" s="8"/>
      <c r="C4309" s="8"/>
      <c r="D4309" s="8"/>
      <c r="E4309" s="39"/>
      <c r="F4309" s="40"/>
    </row>
    <row r="4310" spans="2:6">
      <c r="B4310" s="8"/>
      <c r="C4310" s="8"/>
      <c r="D4310" s="8"/>
      <c r="E4310" s="39"/>
      <c r="F4310" s="40"/>
    </row>
    <row r="4311" spans="2:6">
      <c r="B4311" s="8"/>
      <c r="C4311" s="8"/>
      <c r="D4311" s="8"/>
      <c r="E4311" s="39"/>
      <c r="F4311" s="40"/>
    </row>
    <row r="4312" spans="2:6">
      <c r="B4312" s="8"/>
      <c r="C4312" s="8"/>
      <c r="D4312" s="8"/>
      <c r="E4312" s="39"/>
      <c r="F4312" s="40"/>
    </row>
    <row r="4313" spans="2:6">
      <c r="B4313" s="8"/>
      <c r="C4313" s="8"/>
      <c r="D4313" s="8"/>
      <c r="E4313" s="39"/>
      <c r="F4313" s="40"/>
    </row>
    <row r="4314" spans="2:6">
      <c r="B4314" s="8"/>
      <c r="C4314" s="8"/>
      <c r="D4314" s="8"/>
      <c r="E4314" s="39"/>
      <c r="F4314" s="40"/>
    </row>
    <row r="4315" spans="2:6">
      <c r="B4315" s="8"/>
      <c r="C4315" s="8"/>
      <c r="D4315" s="8"/>
      <c r="E4315" s="39"/>
      <c r="F4315" s="40"/>
    </row>
    <row r="4316" spans="2:6">
      <c r="B4316" s="8"/>
      <c r="C4316" s="8"/>
      <c r="D4316" s="8"/>
      <c r="E4316" s="39"/>
      <c r="F4316" s="40"/>
    </row>
    <row r="4317" spans="2:6">
      <c r="B4317" s="8"/>
      <c r="C4317" s="8"/>
      <c r="D4317" s="8"/>
      <c r="E4317" s="39"/>
      <c r="F4317" s="40"/>
    </row>
    <row r="4318" spans="2:6">
      <c r="B4318" s="8"/>
      <c r="C4318" s="8"/>
      <c r="D4318" s="8"/>
      <c r="E4318" s="39"/>
      <c r="F4318" s="40"/>
    </row>
    <row r="4319" spans="2:6">
      <c r="B4319" s="8"/>
      <c r="C4319" s="8"/>
      <c r="D4319" s="8"/>
      <c r="E4319" s="39"/>
      <c r="F4319" s="40"/>
    </row>
    <row r="4320" spans="2:6">
      <c r="B4320" s="8"/>
      <c r="C4320" s="8"/>
      <c r="D4320" s="8"/>
      <c r="E4320" s="39"/>
      <c r="F4320" s="40"/>
    </row>
    <row r="4321" spans="2:6">
      <c r="B4321" s="8"/>
      <c r="C4321" s="8"/>
      <c r="D4321" s="8"/>
      <c r="E4321" s="39"/>
      <c r="F4321" s="40"/>
    </row>
    <row r="4322" spans="2:6">
      <c r="B4322" s="8"/>
      <c r="C4322" s="8"/>
      <c r="D4322" s="8"/>
      <c r="E4322" s="39"/>
      <c r="F4322" s="40"/>
    </row>
    <row r="4323" spans="2:6">
      <c r="B4323" s="8"/>
      <c r="C4323" s="8"/>
      <c r="D4323" s="8"/>
      <c r="E4323" s="39"/>
      <c r="F4323" s="40"/>
    </row>
    <row r="4324" spans="2:6">
      <c r="B4324" s="8"/>
      <c r="C4324" s="8"/>
      <c r="D4324" s="8"/>
      <c r="E4324" s="39"/>
      <c r="F4324" s="40"/>
    </row>
    <row r="4325" spans="2:6">
      <c r="B4325" s="8"/>
      <c r="C4325" s="8"/>
      <c r="D4325" s="8"/>
      <c r="E4325" s="39"/>
      <c r="F4325" s="40"/>
    </row>
    <row r="4326" spans="2:6">
      <c r="B4326" s="8"/>
      <c r="C4326" s="8"/>
      <c r="D4326" s="8"/>
      <c r="E4326" s="39"/>
      <c r="F4326" s="40"/>
    </row>
    <row r="4327" spans="2:6">
      <c r="B4327" s="8"/>
      <c r="C4327" s="8"/>
      <c r="D4327" s="8"/>
      <c r="E4327" s="39"/>
      <c r="F4327" s="40"/>
    </row>
    <row r="4328" spans="2:6">
      <c r="B4328" s="8"/>
      <c r="C4328" s="8"/>
      <c r="D4328" s="8"/>
      <c r="E4328" s="39"/>
      <c r="F4328" s="40"/>
    </row>
    <row r="4329" spans="2:6">
      <c r="B4329" s="8"/>
      <c r="C4329" s="8"/>
      <c r="D4329" s="8"/>
      <c r="E4329" s="39"/>
      <c r="F4329" s="40"/>
    </row>
    <row r="4330" spans="2:6">
      <c r="B4330" s="8"/>
      <c r="C4330" s="8"/>
      <c r="D4330" s="8"/>
      <c r="E4330" s="39"/>
      <c r="F4330" s="40"/>
    </row>
    <row r="4331" spans="2:6">
      <c r="B4331" s="8"/>
      <c r="C4331" s="8"/>
      <c r="D4331" s="8"/>
      <c r="E4331" s="39"/>
      <c r="F4331" s="40"/>
    </row>
    <row r="4332" spans="2:6">
      <c r="B4332" s="8"/>
      <c r="C4332" s="8"/>
      <c r="D4332" s="8"/>
      <c r="E4332" s="39"/>
      <c r="F4332" s="40"/>
    </row>
    <row r="4333" spans="2:6">
      <c r="B4333" s="8"/>
      <c r="C4333" s="8"/>
      <c r="D4333" s="8"/>
      <c r="E4333" s="39"/>
      <c r="F4333" s="40"/>
    </row>
    <row r="4334" spans="2:6">
      <c r="B4334" s="8"/>
      <c r="C4334" s="8"/>
      <c r="D4334" s="8"/>
      <c r="E4334" s="39"/>
      <c r="F4334" s="40"/>
    </row>
    <row r="4335" spans="2:6">
      <c r="B4335" s="8"/>
      <c r="C4335" s="8"/>
      <c r="D4335" s="8"/>
      <c r="E4335" s="39"/>
      <c r="F4335" s="40"/>
    </row>
    <row r="4336" spans="2:6">
      <c r="B4336" s="8"/>
      <c r="C4336" s="8"/>
      <c r="D4336" s="8"/>
      <c r="E4336" s="39"/>
      <c r="F4336" s="40"/>
    </row>
    <row r="4337" spans="2:6">
      <c r="B4337" s="8"/>
      <c r="C4337" s="8"/>
      <c r="D4337" s="8"/>
      <c r="E4337" s="39"/>
      <c r="F4337" s="40"/>
    </row>
    <row r="4338" spans="2:6">
      <c r="B4338" s="8"/>
      <c r="C4338" s="8"/>
      <c r="D4338" s="8"/>
      <c r="E4338" s="39"/>
      <c r="F4338" s="40"/>
    </row>
    <row r="4339" spans="2:6">
      <c r="B4339" s="8"/>
      <c r="C4339" s="8"/>
      <c r="D4339" s="8"/>
      <c r="E4339" s="39"/>
      <c r="F4339" s="40"/>
    </row>
    <row r="4340" spans="2:6">
      <c r="B4340" s="8"/>
      <c r="C4340" s="8"/>
      <c r="D4340" s="8"/>
      <c r="E4340" s="39"/>
      <c r="F4340" s="40"/>
    </row>
    <row r="4341" spans="2:6">
      <c r="B4341" s="8"/>
      <c r="C4341" s="8"/>
      <c r="D4341" s="8"/>
      <c r="E4341" s="39"/>
      <c r="F4341" s="40"/>
    </row>
    <row r="4342" spans="2:6">
      <c r="B4342" s="8"/>
      <c r="C4342" s="8"/>
      <c r="D4342" s="8"/>
      <c r="E4342" s="39"/>
      <c r="F4342" s="40"/>
    </row>
    <row r="4343" spans="2:6">
      <c r="B4343" s="8"/>
      <c r="C4343" s="8"/>
      <c r="D4343" s="8"/>
      <c r="E4343" s="39"/>
      <c r="F4343" s="40"/>
    </row>
    <row r="4344" spans="2:6">
      <c r="B4344" s="8"/>
      <c r="C4344" s="8"/>
      <c r="D4344" s="8"/>
      <c r="E4344" s="39"/>
      <c r="F4344" s="40"/>
    </row>
    <row r="4345" spans="2:6">
      <c r="B4345" s="8"/>
      <c r="C4345" s="8"/>
      <c r="D4345" s="8"/>
      <c r="E4345" s="39"/>
      <c r="F4345" s="40"/>
    </row>
    <row r="4346" spans="2:6">
      <c r="B4346" s="8"/>
      <c r="C4346" s="8"/>
      <c r="D4346" s="8"/>
      <c r="E4346" s="39"/>
      <c r="F4346" s="40"/>
    </row>
    <row r="4347" spans="2:6">
      <c r="B4347" s="8"/>
      <c r="C4347" s="8"/>
      <c r="D4347" s="8"/>
      <c r="E4347" s="39"/>
      <c r="F4347" s="40"/>
    </row>
    <row r="4348" spans="2:6">
      <c r="B4348" s="8"/>
      <c r="C4348" s="8"/>
      <c r="D4348" s="8"/>
      <c r="E4348" s="39"/>
      <c r="F4348" s="40"/>
    </row>
    <row r="4349" spans="2:6">
      <c r="B4349" s="8"/>
      <c r="C4349" s="8"/>
      <c r="D4349" s="8"/>
      <c r="E4349" s="39"/>
      <c r="F4349" s="40"/>
    </row>
    <row r="4350" spans="2:6">
      <c r="B4350" s="8"/>
      <c r="C4350" s="8"/>
      <c r="D4350" s="8"/>
      <c r="E4350" s="39"/>
      <c r="F4350" s="40"/>
    </row>
    <row r="4351" spans="2:6">
      <c r="B4351" s="8"/>
      <c r="C4351" s="8"/>
      <c r="D4351" s="8"/>
      <c r="E4351" s="39"/>
      <c r="F4351" s="40"/>
    </row>
    <row r="4352" spans="2:6">
      <c r="B4352" s="8"/>
      <c r="C4352" s="8"/>
      <c r="D4352" s="8"/>
      <c r="E4352" s="39"/>
      <c r="F4352" s="40"/>
    </row>
    <row r="4353" spans="2:6">
      <c r="B4353" s="8"/>
      <c r="C4353" s="8"/>
      <c r="D4353" s="8"/>
      <c r="E4353" s="39"/>
      <c r="F4353" s="40"/>
    </row>
    <row r="4354" spans="2:6">
      <c r="B4354" s="8"/>
      <c r="C4354" s="8"/>
      <c r="D4354" s="8"/>
      <c r="E4354" s="39"/>
      <c r="F4354" s="40"/>
    </row>
    <row r="4355" spans="2:6">
      <c r="B4355" s="8"/>
      <c r="C4355" s="8"/>
      <c r="D4355" s="8"/>
      <c r="E4355" s="39"/>
      <c r="F4355" s="40"/>
    </row>
    <row r="4356" spans="2:6">
      <c r="B4356" s="8"/>
      <c r="C4356" s="8"/>
      <c r="D4356" s="8"/>
      <c r="E4356" s="39"/>
      <c r="F4356" s="40"/>
    </row>
    <row r="4357" spans="2:6">
      <c r="B4357" s="8"/>
      <c r="C4357" s="8"/>
      <c r="D4357" s="8"/>
      <c r="E4357" s="39"/>
      <c r="F4357" s="40"/>
    </row>
    <row r="4358" spans="2:6">
      <c r="B4358" s="8"/>
      <c r="C4358" s="8"/>
      <c r="D4358" s="8"/>
      <c r="E4358" s="39"/>
      <c r="F4358" s="40"/>
    </row>
    <row r="4359" spans="2:6">
      <c r="B4359" s="8"/>
      <c r="C4359" s="8"/>
      <c r="D4359" s="8"/>
      <c r="E4359" s="39"/>
      <c r="F4359" s="40"/>
    </row>
    <row r="4360" spans="2:6">
      <c r="B4360" s="8"/>
      <c r="C4360" s="8"/>
      <c r="D4360" s="8"/>
      <c r="E4360" s="39"/>
      <c r="F4360" s="40"/>
    </row>
    <row r="4361" spans="2:6">
      <c r="B4361" s="8"/>
      <c r="C4361" s="8"/>
      <c r="D4361" s="8"/>
      <c r="E4361" s="39"/>
      <c r="F4361" s="40"/>
    </row>
    <row r="4362" spans="2:6">
      <c r="B4362" s="8"/>
      <c r="C4362" s="8"/>
      <c r="D4362" s="8"/>
      <c r="E4362" s="39"/>
      <c r="F4362" s="40"/>
    </row>
    <row r="4363" spans="2:6">
      <c r="B4363" s="8"/>
      <c r="C4363" s="8"/>
      <c r="D4363" s="8"/>
      <c r="E4363" s="39"/>
      <c r="F4363" s="40"/>
    </row>
    <row r="4364" spans="2:6">
      <c r="B4364" s="8"/>
      <c r="C4364" s="8"/>
      <c r="D4364" s="8"/>
      <c r="E4364" s="39"/>
      <c r="F4364" s="40"/>
    </row>
    <row r="4365" spans="2:6">
      <c r="B4365" s="8"/>
      <c r="C4365" s="8"/>
      <c r="D4365" s="8"/>
      <c r="E4365" s="39"/>
      <c r="F4365" s="40"/>
    </row>
    <row r="4366" spans="2:6">
      <c r="B4366" s="8"/>
      <c r="C4366" s="8"/>
      <c r="D4366" s="8"/>
      <c r="E4366" s="39"/>
      <c r="F4366" s="40"/>
    </row>
    <row r="4367" spans="2:6">
      <c r="B4367" s="8"/>
      <c r="C4367" s="8"/>
      <c r="D4367" s="8"/>
      <c r="E4367" s="39"/>
      <c r="F4367" s="40"/>
    </row>
    <row r="4368" spans="2:6">
      <c r="B4368" s="8"/>
      <c r="C4368" s="8"/>
      <c r="D4368" s="8"/>
      <c r="E4368" s="39"/>
      <c r="F4368" s="40"/>
    </row>
    <row r="4369" spans="2:6">
      <c r="B4369" s="8"/>
      <c r="C4369" s="8"/>
      <c r="D4369" s="8"/>
      <c r="E4369" s="39"/>
      <c r="F4369" s="40"/>
    </row>
    <row r="4370" spans="2:6">
      <c r="B4370" s="8"/>
      <c r="C4370" s="8"/>
      <c r="D4370" s="8"/>
      <c r="E4370" s="39"/>
      <c r="F4370" s="40"/>
    </row>
    <row r="4371" spans="2:6">
      <c r="B4371" s="8"/>
      <c r="C4371" s="8"/>
      <c r="D4371" s="8"/>
      <c r="E4371" s="39"/>
      <c r="F4371" s="40"/>
    </row>
    <row r="4372" spans="2:6">
      <c r="B4372" s="8"/>
      <c r="C4372" s="8"/>
      <c r="D4372" s="8"/>
      <c r="E4372" s="39"/>
      <c r="F4372" s="40"/>
    </row>
    <row r="4373" spans="2:6">
      <c r="B4373" s="8"/>
      <c r="C4373" s="8"/>
      <c r="D4373" s="8"/>
      <c r="E4373" s="39"/>
      <c r="F4373" s="40"/>
    </row>
    <row r="4374" spans="2:6">
      <c r="B4374" s="8"/>
      <c r="C4374" s="8"/>
      <c r="D4374" s="8"/>
      <c r="E4374" s="39"/>
      <c r="F4374" s="40"/>
    </row>
    <row r="4375" spans="2:6">
      <c r="B4375" s="8"/>
      <c r="C4375" s="8"/>
      <c r="D4375" s="8"/>
      <c r="E4375" s="39"/>
      <c r="F4375" s="40"/>
    </row>
    <row r="4376" spans="2:6">
      <c r="B4376" s="8"/>
      <c r="C4376" s="8"/>
      <c r="D4376" s="8"/>
      <c r="E4376" s="39"/>
      <c r="F4376" s="40"/>
    </row>
    <row r="4377" spans="2:6">
      <c r="B4377" s="8"/>
      <c r="C4377" s="8"/>
      <c r="D4377" s="8"/>
      <c r="E4377" s="39"/>
      <c r="F4377" s="40"/>
    </row>
    <row r="4378" spans="2:6">
      <c r="B4378" s="8"/>
      <c r="C4378" s="8"/>
      <c r="D4378" s="8"/>
      <c r="E4378" s="39"/>
      <c r="F4378" s="40"/>
    </row>
    <row r="4379" spans="2:6">
      <c r="B4379" s="8"/>
      <c r="C4379" s="8"/>
      <c r="D4379" s="8"/>
      <c r="E4379" s="39"/>
      <c r="F4379" s="40"/>
    </row>
    <row r="4380" spans="2:6">
      <c r="B4380" s="8"/>
      <c r="C4380" s="8"/>
      <c r="D4380" s="8"/>
      <c r="E4380" s="39"/>
      <c r="F4380" s="40"/>
    </row>
    <row r="4381" spans="2:6">
      <c r="B4381" s="8"/>
      <c r="C4381" s="8"/>
      <c r="D4381" s="8"/>
      <c r="E4381" s="39"/>
      <c r="F4381" s="40"/>
    </row>
    <row r="4382" spans="2:6">
      <c r="B4382" s="8"/>
      <c r="C4382" s="8"/>
      <c r="D4382" s="8"/>
      <c r="E4382" s="39"/>
      <c r="F4382" s="40"/>
    </row>
    <row r="4383" spans="2:6">
      <c r="B4383" s="8"/>
      <c r="C4383" s="8"/>
      <c r="D4383" s="8"/>
      <c r="E4383" s="39"/>
      <c r="F4383" s="40"/>
    </row>
    <row r="4384" spans="2:6">
      <c r="B4384" s="8"/>
      <c r="C4384" s="8"/>
      <c r="D4384" s="8"/>
      <c r="E4384" s="39"/>
      <c r="F4384" s="40"/>
    </row>
    <row r="4385" spans="2:6">
      <c r="B4385" s="8"/>
      <c r="C4385" s="8"/>
      <c r="D4385" s="8"/>
      <c r="E4385" s="39"/>
      <c r="F4385" s="40"/>
    </row>
    <row r="4386" spans="2:6">
      <c r="B4386" s="8"/>
      <c r="C4386" s="8"/>
      <c r="D4386" s="8"/>
      <c r="E4386" s="39"/>
      <c r="F4386" s="40"/>
    </row>
    <row r="4387" spans="2:6">
      <c r="B4387" s="8"/>
      <c r="C4387" s="8"/>
      <c r="D4387" s="8"/>
      <c r="E4387" s="39"/>
      <c r="F4387" s="40"/>
    </row>
    <row r="4388" spans="2:6">
      <c r="B4388" s="8"/>
      <c r="C4388" s="8"/>
      <c r="D4388" s="8"/>
      <c r="E4388" s="39"/>
      <c r="F4388" s="40"/>
    </row>
    <row r="4389" spans="2:6">
      <c r="B4389" s="8"/>
      <c r="C4389" s="8"/>
      <c r="D4389" s="8"/>
      <c r="E4389" s="39"/>
      <c r="F4389" s="40"/>
    </row>
    <row r="4390" spans="2:6">
      <c r="B4390" s="8"/>
      <c r="C4390" s="8"/>
      <c r="D4390" s="8"/>
      <c r="E4390" s="39"/>
      <c r="F4390" s="40"/>
    </row>
    <row r="4391" spans="2:6">
      <c r="B4391" s="8"/>
      <c r="C4391" s="8"/>
      <c r="D4391" s="8"/>
      <c r="E4391" s="39"/>
      <c r="F4391" s="40"/>
    </row>
    <row r="4392" spans="2:6">
      <c r="B4392" s="8"/>
      <c r="C4392" s="8"/>
      <c r="D4392" s="8"/>
      <c r="E4392" s="39"/>
      <c r="F4392" s="40"/>
    </row>
    <row r="4393" spans="2:6">
      <c r="B4393" s="8"/>
      <c r="C4393" s="8"/>
      <c r="D4393" s="8"/>
      <c r="E4393" s="39"/>
      <c r="F4393" s="40"/>
    </row>
    <row r="4394" spans="2:6">
      <c r="B4394" s="8"/>
      <c r="C4394" s="8"/>
      <c r="D4394" s="8"/>
      <c r="E4394" s="39"/>
      <c r="F4394" s="40"/>
    </row>
    <row r="4395" spans="2:6">
      <c r="B4395" s="8"/>
      <c r="C4395" s="8"/>
      <c r="D4395" s="8"/>
      <c r="E4395" s="39"/>
      <c r="F4395" s="40"/>
    </row>
    <row r="4396" spans="2:6">
      <c r="B4396" s="8"/>
      <c r="C4396" s="8"/>
      <c r="D4396" s="8"/>
      <c r="E4396" s="39"/>
      <c r="F4396" s="40"/>
    </row>
    <row r="4397" spans="2:6">
      <c r="B4397" s="8"/>
      <c r="C4397" s="8"/>
      <c r="D4397" s="8"/>
      <c r="E4397" s="39"/>
      <c r="F4397" s="40"/>
    </row>
    <row r="4398" spans="2:6">
      <c r="B4398" s="8"/>
      <c r="C4398" s="8"/>
      <c r="D4398" s="8"/>
      <c r="E4398" s="39"/>
      <c r="F4398" s="40"/>
    </row>
    <row r="4399" spans="2:6">
      <c r="B4399" s="8"/>
      <c r="C4399" s="8"/>
      <c r="D4399" s="8"/>
      <c r="E4399" s="39"/>
      <c r="F4399" s="40"/>
    </row>
    <row r="4400" spans="2:6">
      <c r="B4400" s="8"/>
      <c r="C4400" s="8"/>
      <c r="D4400" s="8"/>
      <c r="E4400" s="39"/>
      <c r="F4400" s="40"/>
    </row>
    <row r="4401" spans="2:6">
      <c r="B4401" s="8"/>
      <c r="C4401" s="8"/>
      <c r="D4401" s="8"/>
      <c r="E4401" s="39"/>
      <c r="F4401" s="40"/>
    </row>
    <row r="4402" spans="2:6">
      <c r="B4402" s="8"/>
      <c r="C4402" s="8"/>
      <c r="D4402" s="8"/>
      <c r="E4402" s="39"/>
      <c r="F4402" s="40"/>
    </row>
    <row r="4403" spans="2:6">
      <c r="B4403" s="8"/>
      <c r="C4403" s="8"/>
      <c r="D4403" s="8"/>
      <c r="E4403" s="39"/>
      <c r="F4403" s="40"/>
    </row>
    <row r="4404" spans="2:6">
      <c r="B4404" s="8"/>
      <c r="C4404" s="8"/>
      <c r="D4404" s="8"/>
      <c r="E4404" s="39"/>
      <c r="F4404" s="40"/>
    </row>
    <row r="4405" spans="2:6">
      <c r="B4405" s="8"/>
      <c r="C4405" s="8"/>
      <c r="D4405" s="8"/>
      <c r="E4405" s="39"/>
      <c r="F4405" s="40"/>
    </row>
    <row r="4406" spans="2:6">
      <c r="B4406" s="8"/>
      <c r="C4406" s="8"/>
      <c r="D4406" s="8"/>
      <c r="E4406" s="39"/>
      <c r="F4406" s="40"/>
    </row>
    <row r="4407" spans="2:6">
      <c r="B4407" s="8"/>
      <c r="C4407" s="8"/>
      <c r="D4407" s="8"/>
      <c r="E4407" s="39"/>
      <c r="F4407" s="40"/>
    </row>
    <row r="4408" spans="2:6">
      <c r="B4408" s="8"/>
      <c r="C4408" s="8"/>
      <c r="D4408" s="8"/>
      <c r="E4408" s="39"/>
      <c r="F4408" s="40"/>
    </row>
    <row r="4409" spans="2:6">
      <c r="B4409" s="8"/>
      <c r="C4409" s="8"/>
      <c r="D4409" s="8"/>
      <c r="E4409" s="39"/>
      <c r="F4409" s="40"/>
    </row>
    <row r="4410" spans="2:6">
      <c r="B4410" s="8"/>
      <c r="C4410" s="8"/>
      <c r="D4410" s="8"/>
      <c r="E4410" s="39"/>
      <c r="F4410" s="40"/>
    </row>
    <row r="4411" spans="2:6">
      <c r="B4411" s="8"/>
      <c r="C4411" s="8"/>
      <c r="D4411" s="8"/>
      <c r="E4411" s="39"/>
      <c r="F4411" s="40"/>
    </row>
    <row r="4412" spans="2:6">
      <c r="B4412" s="8"/>
      <c r="C4412" s="8"/>
      <c r="D4412" s="8"/>
      <c r="E4412" s="39"/>
      <c r="F4412" s="40"/>
    </row>
    <row r="4413" spans="2:6">
      <c r="B4413" s="8"/>
      <c r="C4413" s="8"/>
      <c r="D4413" s="8"/>
      <c r="E4413" s="39"/>
      <c r="F4413" s="40"/>
    </row>
    <row r="4414" spans="2:6">
      <c r="B4414" s="8"/>
      <c r="C4414" s="8"/>
      <c r="D4414" s="8"/>
      <c r="E4414" s="39"/>
      <c r="F4414" s="40"/>
    </row>
    <row r="4415" spans="2:6">
      <c r="B4415" s="8"/>
      <c r="C4415" s="8"/>
      <c r="D4415" s="8"/>
      <c r="E4415" s="39"/>
      <c r="F4415" s="40"/>
    </row>
    <row r="4416" spans="2:6">
      <c r="B4416" s="8"/>
      <c r="C4416" s="8"/>
      <c r="D4416" s="8"/>
      <c r="E4416" s="39"/>
      <c r="F4416" s="40"/>
    </row>
    <row r="4417" spans="2:6">
      <c r="B4417" s="8"/>
      <c r="C4417" s="8"/>
      <c r="D4417" s="8"/>
      <c r="E4417" s="39"/>
      <c r="F4417" s="40"/>
    </row>
    <row r="4418" spans="2:6">
      <c r="B4418" s="8"/>
      <c r="C4418" s="8"/>
      <c r="D4418" s="8"/>
      <c r="E4418" s="39"/>
      <c r="F4418" s="40"/>
    </row>
    <row r="4419" spans="2:6">
      <c r="B4419" s="8"/>
      <c r="C4419" s="8"/>
      <c r="D4419" s="8"/>
      <c r="E4419" s="39"/>
      <c r="F4419" s="40"/>
    </row>
    <row r="4420" spans="2:6">
      <c r="B4420" s="8"/>
      <c r="C4420" s="8"/>
      <c r="D4420" s="8"/>
      <c r="E4420" s="39"/>
      <c r="F4420" s="40"/>
    </row>
    <row r="4421" spans="2:6">
      <c r="B4421" s="8"/>
      <c r="C4421" s="8"/>
      <c r="D4421" s="8"/>
      <c r="E4421" s="39"/>
      <c r="F4421" s="40"/>
    </row>
    <row r="4422" spans="2:6">
      <c r="B4422" s="8"/>
      <c r="C4422" s="8"/>
      <c r="D4422" s="8"/>
      <c r="E4422" s="39"/>
      <c r="F4422" s="40"/>
    </row>
    <row r="4423" spans="2:6">
      <c r="B4423" s="8"/>
      <c r="C4423" s="8"/>
      <c r="D4423" s="8"/>
      <c r="E4423" s="39"/>
      <c r="F4423" s="40"/>
    </row>
    <row r="4424" spans="2:6">
      <c r="B4424" s="8"/>
      <c r="C4424" s="8"/>
      <c r="D4424" s="8"/>
      <c r="E4424" s="39"/>
      <c r="F4424" s="40"/>
    </row>
    <row r="4425" spans="2:6">
      <c r="B4425" s="8"/>
      <c r="C4425" s="8"/>
      <c r="D4425" s="8"/>
      <c r="E4425" s="39"/>
      <c r="F4425" s="40"/>
    </row>
    <row r="4426" spans="2:6">
      <c r="B4426" s="8"/>
      <c r="C4426" s="8"/>
      <c r="D4426" s="8"/>
      <c r="E4426" s="39"/>
      <c r="F4426" s="40"/>
    </row>
    <row r="4427" spans="2:6">
      <c r="B4427" s="8"/>
      <c r="C4427" s="8"/>
      <c r="D4427" s="8"/>
      <c r="E4427" s="39"/>
      <c r="F4427" s="40"/>
    </row>
    <row r="4428" spans="2:6">
      <c r="B4428" s="8"/>
      <c r="C4428" s="8"/>
      <c r="D4428" s="8"/>
      <c r="E4428" s="39"/>
      <c r="F4428" s="40"/>
    </row>
    <row r="4429" spans="2:6">
      <c r="B4429" s="8"/>
      <c r="C4429" s="8"/>
      <c r="D4429" s="8"/>
      <c r="E4429" s="39"/>
      <c r="F4429" s="40"/>
    </row>
    <row r="4430" spans="2:6">
      <c r="B4430" s="8"/>
      <c r="C4430" s="8"/>
      <c r="D4430" s="8"/>
      <c r="E4430" s="39"/>
      <c r="F4430" s="40"/>
    </row>
    <row r="4431" spans="2:6">
      <c r="B4431" s="8"/>
      <c r="C4431" s="8"/>
      <c r="D4431" s="8"/>
      <c r="E4431" s="39"/>
      <c r="F4431" s="40"/>
    </row>
    <row r="4432" spans="2:6">
      <c r="B4432" s="8"/>
      <c r="C4432" s="8"/>
      <c r="D4432" s="8"/>
      <c r="E4432" s="39"/>
      <c r="F4432" s="40"/>
    </row>
    <row r="4433" spans="2:6">
      <c r="B4433" s="8"/>
      <c r="C4433" s="8"/>
      <c r="D4433" s="8"/>
      <c r="E4433" s="39"/>
      <c r="F4433" s="40"/>
    </row>
    <row r="4434" spans="2:6">
      <c r="B4434" s="8"/>
      <c r="C4434" s="8"/>
      <c r="D4434" s="8"/>
      <c r="E4434" s="39"/>
      <c r="F4434" s="40"/>
    </row>
    <row r="4435" spans="2:6">
      <c r="B4435" s="8"/>
      <c r="C4435" s="8"/>
      <c r="D4435" s="8"/>
      <c r="E4435" s="39"/>
      <c r="F4435" s="40"/>
    </row>
    <row r="4436" spans="2:6">
      <c r="B4436" s="8"/>
      <c r="C4436" s="8"/>
      <c r="D4436" s="8"/>
      <c r="E4436" s="39"/>
      <c r="F4436" s="40"/>
    </row>
    <row r="4437" spans="2:6">
      <c r="B4437" s="8"/>
      <c r="C4437" s="8"/>
      <c r="D4437" s="8"/>
      <c r="E4437" s="39"/>
      <c r="F4437" s="40"/>
    </row>
    <row r="4438" spans="2:6">
      <c r="B4438" s="8"/>
      <c r="C4438" s="8"/>
      <c r="D4438" s="8"/>
      <c r="E4438" s="39"/>
      <c r="F4438" s="40"/>
    </row>
    <row r="4439" spans="2:6">
      <c r="B4439" s="8"/>
      <c r="C4439" s="8"/>
      <c r="D4439" s="8"/>
      <c r="E4439" s="39"/>
      <c r="F4439" s="40"/>
    </row>
    <row r="4440" spans="2:6">
      <c r="B4440" s="8"/>
      <c r="C4440" s="8"/>
      <c r="D4440" s="8"/>
      <c r="E4440" s="39"/>
      <c r="F4440" s="40"/>
    </row>
    <row r="4441" spans="2:6">
      <c r="B4441" s="8"/>
      <c r="C4441" s="8"/>
      <c r="D4441" s="8"/>
      <c r="E4441" s="39"/>
      <c r="F4441" s="40"/>
    </row>
    <row r="4442" spans="2:6">
      <c r="B4442" s="8"/>
      <c r="C4442" s="8"/>
      <c r="D4442" s="8"/>
      <c r="E4442" s="39"/>
      <c r="F4442" s="40"/>
    </row>
    <row r="4443" spans="2:6">
      <c r="B4443" s="8"/>
      <c r="C4443" s="8"/>
      <c r="D4443" s="8"/>
      <c r="E4443" s="39"/>
      <c r="F4443" s="40"/>
    </row>
    <row r="4444" spans="2:6">
      <c r="B4444" s="8"/>
      <c r="C4444" s="8"/>
      <c r="D4444" s="8"/>
      <c r="E4444" s="39"/>
      <c r="F4444" s="40"/>
    </row>
    <row r="4445" spans="2:6">
      <c r="B4445" s="8"/>
      <c r="C4445" s="8"/>
      <c r="D4445" s="8"/>
      <c r="E4445" s="39"/>
      <c r="F4445" s="40"/>
    </row>
    <row r="4446" spans="2:6">
      <c r="B4446" s="8"/>
      <c r="C4446" s="8"/>
      <c r="D4446" s="8"/>
      <c r="E4446" s="39"/>
      <c r="F4446" s="40"/>
    </row>
    <row r="4447" spans="2:6">
      <c r="B4447" s="8"/>
      <c r="C4447" s="8"/>
      <c r="D4447" s="8"/>
      <c r="E4447" s="39"/>
      <c r="F4447" s="40"/>
    </row>
    <row r="4448" spans="2:6">
      <c r="B4448" s="8"/>
      <c r="C4448" s="8"/>
      <c r="D4448" s="8"/>
      <c r="E4448" s="39"/>
      <c r="F4448" s="40"/>
    </row>
    <row r="4449" spans="2:6">
      <c r="B4449" s="8"/>
      <c r="C4449" s="8"/>
      <c r="D4449" s="8"/>
      <c r="E4449" s="39"/>
      <c r="F4449" s="40"/>
    </row>
    <row r="4450" spans="2:6">
      <c r="B4450" s="8"/>
      <c r="C4450" s="8"/>
      <c r="D4450" s="8"/>
      <c r="E4450" s="39"/>
      <c r="F4450" s="40"/>
    </row>
    <row r="4451" spans="2:6">
      <c r="B4451" s="8"/>
      <c r="C4451" s="8"/>
      <c r="D4451" s="8"/>
      <c r="E4451" s="39"/>
      <c r="F4451" s="40"/>
    </row>
    <row r="4452" spans="2:6">
      <c r="B4452" s="8"/>
      <c r="C4452" s="8"/>
      <c r="D4452" s="8"/>
      <c r="E4452" s="39"/>
      <c r="F4452" s="40"/>
    </row>
    <row r="4453" spans="2:6">
      <c r="B4453" s="8"/>
      <c r="C4453" s="8"/>
      <c r="D4453" s="8"/>
      <c r="E4453" s="39"/>
      <c r="F4453" s="40"/>
    </row>
    <row r="4454" spans="2:6">
      <c r="B4454" s="8"/>
      <c r="C4454" s="8"/>
      <c r="D4454" s="8"/>
      <c r="E4454" s="39"/>
      <c r="F4454" s="40"/>
    </row>
    <row r="4455" spans="2:6">
      <c r="B4455" s="8"/>
      <c r="C4455" s="8"/>
      <c r="D4455" s="8"/>
      <c r="E4455" s="39"/>
      <c r="F4455" s="40"/>
    </row>
    <row r="4456" spans="2:6">
      <c r="B4456" s="8"/>
      <c r="C4456" s="8"/>
      <c r="D4456" s="8"/>
      <c r="E4456" s="39"/>
      <c r="F4456" s="40"/>
    </row>
    <row r="4457" spans="2:6">
      <c r="B4457" s="8"/>
      <c r="C4457" s="8"/>
      <c r="D4457" s="8"/>
      <c r="E4457" s="39"/>
      <c r="F4457" s="40"/>
    </row>
    <row r="4458" spans="2:6">
      <c r="B4458" s="8"/>
      <c r="C4458" s="8"/>
      <c r="D4458" s="8"/>
      <c r="E4458" s="39"/>
      <c r="F4458" s="40"/>
    </row>
    <row r="4459" spans="2:6">
      <c r="B4459" s="8"/>
      <c r="C4459" s="8"/>
      <c r="D4459" s="8"/>
      <c r="E4459" s="39"/>
      <c r="F4459" s="40"/>
    </row>
    <row r="4460" spans="2:6">
      <c r="B4460" s="8"/>
      <c r="C4460" s="8"/>
      <c r="D4460" s="8"/>
      <c r="E4460" s="39"/>
      <c r="F4460" s="40"/>
    </row>
    <row r="4461" spans="2:6">
      <c r="B4461" s="8"/>
      <c r="C4461" s="8"/>
      <c r="D4461" s="8"/>
      <c r="E4461" s="39"/>
      <c r="F4461" s="40"/>
    </row>
    <row r="4462" spans="2:6">
      <c r="B4462" s="8"/>
      <c r="C4462" s="8"/>
      <c r="D4462" s="8"/>
      <c r="E4462" s="39"/>
      <c r="F4462" s="40"/>
    </row>
    <row r="4463" spans="2:6">
      <c r="B4463" s="8"/>
      <c r="C4463" s="8"/>
      <c r="D4463" s="8"/>
      <c r="E4463" s="39"/>
      <c r="F4463" s="40"/>
    </row>
    <row r="4464" spans="2:6">
      <c r="B4464" s="8"/>
      <c r="C4464" s="8"/>
      <c r="D4464" s="8"/>
      <c r="E4464" s="39"/>
      <c r="F4464" s="40"/>
    </row>
    <row r="4465" spans="2:6">
      <c r="B4465" s="8"/>
      <c r="C4465" s="8"/>
      <c r="D4465" s="8"/>
      <c r="E4465" s="39"/>
      <c r="F4465" s="40"/>
    </row>
    <row r="4466" spans="2:6">
      <c r="B4466" s="8"/>
      <c r="C4466" s="8"/>
      <c r="D4466" s="8"/>
      <c r="E4466" s="39"/>
      <c r="F4466" s="40"/>
    </row>
    <row r="4467" spans="2:6">
      <c r="B4467" s="8"/>
      <c r="C4467" s="8"/>
      <c r="D4467" s="8"/>
      <c r="E4467" s="39"/>
      <c r="F4467" s="40"/>
    </row>
    <row r="4468" spans="2:6">
      <c r="B4468" s="8"/>
      <c r="C4468" s="8"/>
      <c r="D4468" s="8"/>
      <c r="E4468" s="39"/>
      <c r="F4468" s="40"/>
    </row>
    <row r="4469" spans="2:6">
      <c r="B4469" s="8"/>
      <c r="C4469" s="8"/>
      <c r="D4469" s="8"/>
      <c r="E4469" s="39"/>
      <c r="F4469" s="40"/>
    </row>
    <row r="4470" spans="2:6">
      <c r="B4470" s="8"/>
      <c r="C4470" s="8"/>
      <c r="D4470" s="8"/>
      <c r="E4470" s="39"/>
      <c r="F4470" s="40"/>
    </row>
    <row r="4471" spans="2:6">
      <c r="B4471" s="8"/>
      <c r="C4471" s="8"/>
      <c r="D4471" s="8"/>
      <c r="E4471" s="39"/>
      <c r="F4471" s="40"/>
    </row>
    <row r="4472" spans="2:6">
      <c r="B4472" s="8"/>
      <c r="C4472" s="8"/>
      <c r="D4472" s="8"/>
      <c r="E4472" s="39"/>
      <c r="F4472" s="40"/>
    </row>
    <row r="4473" spans="2:6">
      <c r="B4473" s="8"/>
      <c r="C4473" s="8"/>
      <c r="D4473" s="8"/>
      <c r="E4473" s="39"/>
      <c r="F4473" s="40"/>
    </row>
    <row r="4474" spans="2:6">
      <c r="B4474" s="8"/>
      <c r="C4474" s="8"/>
      <c r="D4474" s="8"/>
      <c r="E4474" s="39"/>
      <c r="F4474" s="40"/>
    </row>
    <row r="4475" spans="2:6">
      <c r="B4475" s="8"/>
      <c r="C4475" s="8"/>
      <c r="D4475" s="8"/>
      <c r="E4475" s="39"/>
      <c r="F4475" s="40"/>
    </row>
    <row r="4476" spans="2:6">
      <c r="B4476" s="8"/>
      <c r="C4476" s="8"/>
      <c r="D4476" s="8"/>
      <c r="E4476" s="39"/>
      <c r="F4476" s="40"/>
    </row>
    <row r="4477" spans="2:6">
      <c r="B4477" s="8"/>
      <c r="C4477" s="8"/>
      <c r="D4477" s="8"/>
      <c r="E4477" s="39"/>
      <c r="F4477" s="40"/>
    </row>
    <row r="4478" spans="2:6">
      <c r="B4478" s="8"/>
      <c r="C4478" s="8"/>
      <c r="D4478" s="8"/>
      <c r="E4478" s="39"/>
      <c r="F4478" s="40"/>
    </row>
    <row r="4479" spans="2:6">
      <c r="B4479" s="8"/>
      <c r="C4479" s="8"/>
      <c r="D4479" s="8"/>
      <c r="E4479" s="39"/>
      <c r="F4479" s="40"/>
    </row>
    <row r="4480" spans="2:6">
      <c r="B4480" s="8"/>
      <c r="C4480" s="8"/>
      <c r="D4480" s="8"/>
      <c r="E4480" s="39"/>
      <c r="F4480" s="40"/>
    </row>
    <row r="4481" spans="2:6">
      <c r="B4481" s="8"/>
      <c r="C4481" s="8"/>
      <c r="D4481" s="8"/>
      <c r="E4481" s="39"/>
      <c r="F4481" s="40"/>
    </row>
    <row r="4482" spans="2:6">
      <c r="B4482" s="8"/>
      <c r="C4482" s="8"/>
      <c r="D4482" s="8"/>
      <c r="E4482" s="39"/>
      <c r="F4482" s="40"/>
    </row>
    <row r="4483" spans="2:6">
      <c r="B4483" s="8"/>
      <c r="C4483" s="8"/>
      <c r="D4483" s="8"/>
      <c r="E4483" s="39"/>
      <c r="F4483" s="40"/>
    </row>
    <row r="4484" spans="2:6">
      <c r="B4484" s="8"/>
      <c r="C4484" s="8"/>
      <c r="D4484" s="8"/>
      <c r="E4484" s="39"/>
      <c r="F4484" s="40"/>
    </row>
    <row r="4485" spans="2:6">
      <c r="B4485" s="8"/>
      <c r="C4485" s="8"/>
      <c r="D4485" s="8"/>
      <c r="E4485" s="39"/>
      <c r="F4485" s="40"/>
    </row>
    <row r="4486" spans="2:6">
      <c r="B4486" s="8"/>
      <c r="C4486" s="8"/>
      <c r="D4486" s="8"/>
      <c r="E4486" s="39"/>
      <c r="F4486" s="40"/>
    </row>
    <row r="4487" spans="2:6">
      <c r="B4487" s="8"/>
      <c r="C4487" s="8"/>
      <c r="D4487" s="8"/>
      <c r="E4487" s="39"/>
      <c r="F4487" s="40"/>
    </row>
    <row r="4488" spans="2:6">
      <c r="B4488" s="8"/>
      <c r="C4488" s="8"/>
      <c r="D4488" s="8"/>
      <c r="E4488" s="39"/>
      <c r="F4488" s="40"/>
    </row>
    <row r="4489" spans="2:6">
      <c r="B4489" s="8"/>
      <c r="C4489" s="8"/>
      <c r="D4489" s="8"/>
      <c r="E4489" s="39"/>
      <c r="F4489" s="40"/>
    </row>
    <row r="4490" spans="2:6">
      <c r="B4490" s="8"/>
      <c r="C4490" s="8"/>
      <c r="D4490" s="8"/>
      <c r="E4490" s="39"/>
      <c r="F4490" s="40"/>
    </row>
    <row r="4491" spans="2:6">
      <c r="B4491" s="8"/>
      <c r="C4491" s="8"/>
      <c r="D4491" s="8"/>
      <c r="E4491" s="39"/>
      <c r="F4491" s="40"/>
    </row>
    <row r="4492" spans="2:6">
      <c r="B4492" s="8"/>
      <c r="C4492" s="8"/>
      <c r="D4492" s="8"/>
      <c r="E4492" s="39"/>
      <c r="F4492" s="40"/>
    </row>
    <row r="4493" spans="2:6">
      <c r="B4493" s="8"/>
      <c r="C4493" s="8"/>
      <c r="D4493" s="8"/>
      <c r="E4493" s="39"/>
      <c r="F4493" s="40"/>
    </row>
    <row r="4494" spans="2:6">
      <c r="B4494" s="8"/>
      <c r="C4494" s="8"/>
      <c r="D4494" s="8"/>
      <c r="E4494" s="39"/>
      <c r="F4494" s="40"/>
    </row>
    <row r="4495" spans="2:6">
      <c r="B4495" s="8"/>
      <c r="C4495" s="8"/>
      <c r="D4495" s="8"/>
      <c r="E4495" s="39"/>
      <c r="F4495" s="40"/>
    </row>
    <row r="4496" spans="2:6">
      <c r="B4496" s="8"/>
      <c r="C4496" s="8"/>
      <c r="D4496" s="8"/>
      <c r="E4496" s="39"/>
      <c r="F4496" s="40"/>
    </row>
    <row r="4497" spans="2:6">
      <c r="B4497" s="8"/>
      <c r="C4497" s="8"/>
      <c r="D4497" s="8"/>
      <c r="E4497" s="39"/>
      <c r="F4497" s="40"/>
    </row>
    <row r="4498" spans="2:6">
      <c r="B4498" s="8"/>
      <c r="C4498" s="8"/>
      <c r="D4498" s="8"/>
      <c r="E4498" s="39"/>
      <c r="F4498" s="40"/>
    </row>
    <row r="4499" spans="2:6">
      <c r="B4499" s="8"/>
      <c r="C4499" s="8"/>
      <c r="D4499" s="8"/>
      <c r="E4499" s="39"/>
      <c r="F4499" s="40"/>
    </row>
    <row r="4500" spans="2:6">
      <c r="B4500" s="8"/>
      <c r="C4500" s="8"/>
      <c r="D4500" s="8"/>
      <c r="E4500" s="39"/>
      <c r="F4500" s="40"/>
    </row>
    <row r="4501" spans="2:6">
      <c r="B4501" s="8"/>
      <c r="C4501" s="8"/>
      <c r="D4501" s="8"/>
      <c r="E4501" s="39"/>
      <c r="F4501" s="40"/>
    </row>
    <row r="4502" spans="2:6">
      <c r="B4502" s="8"/>
      <c r="C4502" s="8"/>
      <c r="D4502" s="8"/>
      <c r="E4502" s="39"/>
      <c r="F4502" s="40"/>
    </row>
    <row r="4503" spans="2:6">
      <c r="B4503" s="8"/>
      <c r="C4503" s="8"/>
      <c r="D4503" s="8"/>
      <c r="E4503" s="39"/>
      <c r="F4503" s="40"/>
    </row>
    <row r="4504" spans="2:6">
      <c r="B4504" s="8"/>
      <c r="C4504" s="8"/>
      <c r="D4504" s="8"/>
      <c r="E4504" s="39"/>
      <c r="F4504" s="40"/>
    </row>
    <row r="4505" spans="2:6">
      <c r="B4505" s="8"/>
      <c r="C4505" s="8"/>
      <c r="D4505" s="8"/>
      <c r="E4505" s="39"/>
      <c r="F4505" s="40"/>
    </row>
    <row r="4506" spans="2:6">
      <c r="B4506" s="8"/>
      <c r="C4506" s="8"/>
      <c r="D4506" s="8"/>
      <c r="E4506" s="39"/>
      <c r="F4506" s="40"/>
    </row>
    <row r="4507" spans="2:6">
      <c r="B4507" s="8"/>
      <c r="C4507" s="8"/>
      <c r="D4507" s="8"/>
      <c r="E4507" s="39"/>
      <c r="F4507" s="40"/>
    </row>
    <row r="4508" spans="2:6">
      <c r="B4508" s="8"/>
      <c r="C4508" s="8"/>
      <c r="D4508" s="8"/>
      <c r="E4508" s="39"/>
      <c r="F4508" s="40"/>
    </row>
    <row r="4509" spans="2:6">
      <c r="B4509" s="8"/>
      <c r="C4509" s="8"/>
      <c r="D4509" s="8"/>
      <c r="E4509" s="39"/>
      <c r="F4509" s="40"/>
    </row>
    <row r="4510" spans="2:6">
      <c r="B4510" s="8"/>
      <c r="C4510" s="8"/>
      <c r="D4510" s="8"/>
      <c r="E4510" s="39"/>
      <c r="F4510" s="40"/>
    </row>
    <row r="4511" spans="2:6">
      <c r="B4511" s="8"/>
      <c r="C4511" s="8"/>
      <c r="D4511" s="8"/>
      <c r="E4511" s="39"/>
      <c r="F4511" s="40"/>
    </row>
    <row r="4512" spans="2:6">
      <c r="B4512" s="8"/>
      <c r="C4512" s="8"/>
      <c r="D4512" s="8"/>
      <c r="E4512" s="39"/>
      <c r="F4512" s="40"/>
    </row>
    <row r="4513" spans="2:6">
      <c r="B4513" s="8"/>
      <c r="C4513" s="8"/>
      <c r="D4513" s="8"/>
      <c r="E4513" s="39"/>
      <c r="F4513" s="40"/>
    </row>
    <row r="4514" spans="2:6">
      <c r="B4514" s="8"/>
      <c r="C4514" s="8"/>
      <c r="D4514" s="8"/>
      <c r="E4514" s="39"/>
      <c r="F4514" s="40"/>
    </row>
    <row r="4515" spans="2:6">
      <c r="B4515" s="8"/>
      <c r="C4515" s="8"/>
      <c r="D4515" s="8"/>
      <c r="E4515" s="39"/>
      <c r="F4515" s="40"/>
    </row>
    <row r="4516" spans="2:6">
      <c r="B4516" s="8"/>
      <c r="C4516" s="8"/>
      <c r="D4516" s="8"/>
      <c r="E4516" s="39"/>
      <c r="F4516" s="40"/>
    </row>
    <row r="4517" spans="2:6">
      <c r="B4517" s="8"/>
      <c r="C4517" s="8"/>
      <c r="D4517" s="8"/>
      <c r="E4517" s="39"/>
      <c r="F4517" s="40"/>
    </row>
    <row r="4518" spans="2:6">
      <c r="B4518" s="8"/>
      <c r="C4518" s="8"/>
      <c r="D4518" s="8"/>
      <c r="E4518" s="39"/>
      <c r="F4518" s="40"/>
    </row>
    <row r="4519" spans="2:6">
      <c r="B4519" s="8"/>
      <c r="C4519" s="8"/>
      <c r="D4519" s="8"/>
      <c r="E4519" s="39"/>
      <c r="F4519" s="40"/>
    </row>
    <row r="4520" spans="2:6">
      <c r="B4520" s="8"/>
      <c r="C4520" s="8"/>
      <c r="D4520" s="8"/>
      <c r="E4520" s="39"/>
      <c r="F4520" s="40"/>
    </row>
    <row r="4521" spans="2:6">
      <c r="B4521" s="8"/>
      <c r="C4521" s="8"/>
      <c r="D4521" s="8"/>
      <c r="E4521" s="39"/>
      <c r="F4521" s="40"/>
    </row>
    <row r="4522" spans="2:6">
      <c r="B4522" s="8"/>
      <c r="C4522" s="8"/>
      <c r="D4522" s="8"/>
      <c r="E4522" s="39"/>
      <c r="F4522" s="40"/>
    </row>
    <row r="4523" spans="2:6">
      <c r="B4523" s="8"/>
      <c r="C4523" s="8"/>
      <c r="D4523" s="8"/>
      <c r="E4523" s="39"/>
      <c r="F4523" s="40"/>
    </row>
    <row r="4524" spans="2:6">
      <c r="B4524" s="8"/>
      <c r="C4524" s="8"/>
      <c r="D4524" s="8"/>
      <c r="E4524" s="39"/>
      <c r="F4524" s="40"/>
    </row>
    <row r="4525" spans="2:6">
      <c r="B4525" s="8"/>
      <c r="C4525" s="8"/>
      <c r="D4525" s="8"/>
      <c r="E4525" s="39"/>
      <c r="F4525" s="40"/>
    </row>
    <row r="4526" spans="2:6">
      <c r="B4526" s="8"/>
      <c r="C4526" s="8"/>
      <c r="D4526" s="8"/>
      <c r="E4526" s="39"/>
      <c r="F4526" s="40"/>
    </row>
    <row r="4527" spans="2:6">
      <c r="B4527" s="8"/>
      <c r="C4527" s="8"/>
      <c r="D4527" s="8"/>
      <c r="E4527" s="39"/>
      <c r="F4527" s="40"/>
    </row>
    <row r="4528" spans="2:6">
      <c r="B4528" s="8"/>
      <c r="C4528" s="8"/>
      <c r="D4528" s="8"/>
      <c r="E4528" s="39"/>
      <c r="F4528" s="40"/>
    </row>
    <row r="4529" spans="2:6">
      <c r="B4529" s="8"/>
      <c r="C4529" s="8"/>
      <c r="D4529" s="8"/>
      <c r="E4529" s="39"/>
      <c r="F4529" s="40"/>
    </row>
    <row r="4530" spans="2:6">
      <c r="B4530" s="8"/>
      <c r="C4530" s="8"/>
      <c r="D4530" s="8"/>
      <c r="E4530" s="39"/>
      <c r="F4530" s="40"/>
    </row>
    <row r="4531" spans="2:6">
      <c r="B4531" s="8"/>
      <c r="C4531" s="8"/>
      <c r="D4531" s="8"/>
      <c r="E4531" s="39"/>
      <c r="F4531" s="40"/>
    </row>
    <row r="4532" spans="2:6">
      <c r="B4532" s="8"/>
      <c r="C4532" s="8"/>
      <c r="D4532" s="8"/>
      <c r="E4532" s="39"/>
      <c r="F4532" s="40"/>
    </row>
    <row r="4533" spans="2:6">
      <c r="B4533" s="8"/>
      <c r="C4533" s="8"/>
      <c r="D4533" s="8"/>
      <c r="E4533" s="39"/>
      <c r="F4533" s="40"/>
    </row>
    <row r="4534" spans="2:6">
      <c r="B4534" s="8"/>
      <c r="C4534" s="8"/>
      <c r="D4534" s="8"/>
      <c r="E4534" s="39"/>
      <c r="F4534" s="40"/>
    </row>
    <row r="4535" spans="2:6">
      <c r="B4535" s="8"/>
      <c r="C4535" s="8"/>
      <c r="D4535" s="8"/>
      <c r="E4535" s="39"/>
      <c r="F4535" s="40"/>
    </row>
    <row r="4536" spans="2:6">
      <c r="B4536" s="8"/>
      <c r="C4536" s="8"/>
      <c r="D4536" s="8"/>
      <c r="E4536" s="39"/>
      <c r="F4536" s="40"/>
    </row>
    <row r="4537" spans="2:6">
      <c r="B4537" s="8"/>
      <c r="C4537" s="8"/>
      <c r="D4537" s="8"/>
      <c r="E4537" s="39"/>
      <c r="F4537" s="40"/>
    </row>
    <row r="4538" spans="2:6">
      <c r="B4538" s="8"/>
      <c r="C4538" s="8"/>
      <c r="D4538" s="8"/>
      <c r="E4538" s="39"/>
      <c r="F4538" s="40"/>
    </row>
    <row r="4539" spans="2:6">
      <c r="B4539" s="8"/>
      <c r="C4539" s="8"/>
      <c r="D4539" s="8"/>
      <c r="E4539" s="39"/>
      <c r="F4539" s="40"/>
    </row>
    <row r="4540" spans="2:6">
      <c r="B4540" s="8"/>
      <c r="C4540" s="8"/>
      <c r="D4540" s="8"/>
      <c r="E4540" s="39"/>
      <c r="F4540" s="40"/>
    </row>
    <row r="4541" spans="2:6">
      <c r="B4541" s="8"/>
      <c r="C4541" s="8"/>
      <c r="D4541" s="8"/>
      <c r="E4541" s="39"/>
      <c r="F4541" s="40"/>
    </row>
    <row r="4542" spans="2:6">
      <c r="B4542" s="8"/>
      <c r="C4542" s="8"/>
      <c r="D4542" s="8"/>
      <c r="E4542" s="39"/>
      <c r="F4542" s="40"/>
    </row>
    <row r="4543" spans="2:6">
      <c r="B4543" s="8"/>
      <c r="C4543" s="8"/>
      <c r="D4543" s="8"/>
      <c r="E4543" s="39"/>
      <c r="F4543" s="40"/>
    </row>
    <row r="4544" spans="2:6">
      <c r="B4544" s="8"/>
      <c r="C4544" s="8"/>
      <c r="D4544" s="8"/>
      <c r="E4544" s="39"/>
      <c r="F4544" s="40"/>
    </row>
    <row r="4545" spans="2:6">
      <c r="B4545" s="8"/>
      <c r="C4545" s="8"/>
      <c r="D4545" s="8"/>
      <c r="E4545" s="39"/>
      <c r="F4545" s="40"/>
    </row>
    <row r="4546" spans="2:6">
      <c r="B4546" s="8"/>
      <c r="C4546" s="8"/>
      <c r="D4546" s="8"/>
      <c r="E4546" s="39"/>
      <c r="F4546" s="40"/>
    </row>
    <row r="4547" spans="2:6">
      <c r="B4547" s="8"/>
      <c r="C4547" s="8"/>
      <c r="D4547" s="8"/>
      <c r="E4547" s="39"/>
      <c r="F4547" s="40"/>
    </row>
    <row r="4548" spans="2:6">
      <c r="B4548" s="8"/>
      <c r="C4548" s="8"/>
      <c r="D4548" s="8"/>
      <c r="E4548" s="39"/>
      <c r="F4548" s="40"/>
    </row>
    <row r="4549" spans="2:6">
      <c r="B4549" s="8"/>
      <c r="C4549" s="8"/>
      <c r="D4549" s="8"/>
      <c r="E4549" s="39"/>
      <c r="F4549" s="40"/>
    </row>
    <row r="4550" spans="2:6">
      <c r="B4550" s="8"/>
      <c r="C4550" s="8"/>
      <c r="D4550" s="8"/>
      <c r="E4550" s="39"/>
      <c r="F4550" s="40"/>
    </row>
    <row r="4551" spans="2:6">
      <c r="B4551" s="8"/>
      <c r="C4551" s="8"/>
      <c r="D4551" s="8"/>
      <c r="E4551" s="39"/>
      <c r="F4551" s="40"/>
    </row>
    <row r="4552" spans="2:6">
      <c r="B4552" s="8"/>
      <c r="C4552" s="8"/>
      <c r="D4552" s="8"/>
      <c r="E4552" s="39"/>
      <c r="F4552" s="40"/>
    </row>
    <row r="4553" spans="2:6">
      <c r="B4553" s="8"/>
      <c r="C4553" s="8"/>
      <c r="D4553" s="8"/>
      <c r="E4553" s="39"/>
      <c r="F4553" s="40"/>
    </row>
    <row r="4554" spans="2:6">
      <c r="B4554" s="8"/>
      <c r="C4554" s="8"/>
      <c r="D4554" s="8"/>
      <c r="E4554" s="39"/>
      <c r="F4554" s="40"/>
    </row>
    <row r="4555" spans="2:6">
      <c r="B4555" s="8"/>
      <c r="C4555" s="8"/>
      <c r="D4555" s="8"/>
      <c r="E4555" s="39"/>
      <c r="F4555" s="40"/>
    </row>
    <row r="4556" spans="2:6">
      <c r="B4556" s="8"/>
      <c r="C4556" s="8"/>
      <c r="D4556" s="8"/>
      <c r="E4556" s="39"/>
      <c r="F4556" s="40"/>
    </row>
    <row r="4557" spans="2:6">
      <c r="B4557" s="8"/>
      <c r="C4557" s="8"/>
      <c r="D4557" s="8"/>
      <c r="E4557" s="39"/>
      <c r="F4557" s="40"/>
    </row>
    <row r="4558" spans="2:6">
      <c r="B4558" s="8"/>
      <c r="C4558" s="8"/>
      <c r="D4558" s="8"/>
      <c r="E4558" s="39"/>
      <c r="F4558" s="40"/>
    </row>
    <row r="4559" spans="2:6">
      <c r="B4559" s="8"/>
      <c r="C4559" s="8"/>
      <c r="D4559" s="8"/>
      <c r="E4559" s="39"/>
      <c r="F4559" s="40"/>
    </row>
    <row r="4560" spans="2:6">
      <c r="B4560" s="8"/>
      <c r="C4560" s="8"/>
      <c r="D4560" s="8"/>
      <c r="E4560" s="39"/>
      <c r="F4560" s="40"/>
    </row>
    <row r="4561" spans="2:6">
      <c r="B4561" s="8"/>
      <c r="C4561" s="8"/>
      <c r="D4561" s="8"/>
      <c r="E4561" s="39"/>
      <c r="F4561" s="40"/>
    </row>
    <row r="4562" spans="2:6">
      <c r="B4562" s="8"/>
      <c r="C4562" s="8"/>
      <c r="D4562" s="8"/>
      <c r="E4562" s="39"/>
      <c r="F4562" s="40"/>
    </row>
    <row r="4563" spans="2:6">
      <c r="B4563" s="8"/>
      <c r="C4563" s="8"/>
      <c r="D4563" s="8"/>
      <c r="E4563" s="39"/>
      <c r="F4563" s="40"/>
    </row>
    <row r="4564" spans="2:6">
      <c r="B4564" s="8"/>
      <c r="C4564" s="8"/>
      <c r="D4564" s="8"/>
      <c r="E4564" s="39"/>
      <c r="F4564" s="40"/>
    </row>
    <row r="4565" spans="2:6">
      <c r="B4565" s="8"/>
      <c r="C4565" s="8"/>
      <c r="D4565" s="8"/>
      <c r="E4565" s="39"/>
      <c r="F4565" s="40"/>
    </row>
    <row r="4566" spans="2:6">
      <c r="B4566" s="8"/>
      <c r="C4566" s="8"/>
      <c r="D4566" s="8"/>
      <c r="E4566" s="39"/>
      <c r="F4566" s="40"/>
    </row>
    <row r="4567" spans="2:6">
      <c r="B4567" s="8"/>
      <c r="C4567" s="8"/>
      <c r="D4567" s="8"/>
      <c r="E4567" s="39"/>
      <c r="F4567" s="40"/>
    </row>
    <row r="4568" spans="2:6">
      <c r="B4568" s="8"/>
      <c r="C4568" s="8"/>
      <c r="D4568" s="8"/>
      <c r="E4568" s="39"/>
      <c r="F4568" s="40"/>
    </row>
    <row r="4569" spans="2:6">
      <c r="B4569" s="8"/>
      <c r="C4569" s="8"/>
      <c r="D4569" s="8"/>
      <c r="E4569" s="39"/>
      <c r="F4569" s="40"/>
    </row>
    <row r="4570" spans="2:6">
      <c r="B4570" s="8"/>
      <c r="C4570" s="8"/>
      <c r="D4570" s="8"/>
      <c r="E4570" s="39"/>
      <c r="F4570" s="40"/>
    </row>
    <row r="4571" spans="2:6">
      <c r="B4571" s="8"/>
      <c r="C4571" s="8"/>
      <c r="D4571" s="8"/>
      <c r="E4571" s="39"/>
      <c r="F4571" s="40"/>
    </row>
    <row r="4572" spans="2:6">
      <c r="B4572" s="8"/>
      <c r="C4572" s="8"/>
      <c r="D4572" s="8"/>
      <c r="E4572" s="39"/>
      <c r="F4572" s="40"/>
    </row>
    <row r="4573" spans="2:6">
      <c r="B4573" s="8"/>
      <c r="C4573" s="8"/>
      <c r="D4573" s="8"/>
      <c r="E4573" s="39"/>
      <c r="F4573" s="40"/>
    </row>
    <row r="4574" spans="2:6">
      <c r="B4574" s="8"/>
      <c r="C4574" s="8"/>
      <c r="D4574" s="8"/>
      <c r="E4574" s="39"/>
      <c r="F4574" s="40"/>
    </row>
    <row r="4575" spans="2:6">
      <c r="B4575" s="8"/>
      <c r="C4575" s="8"/>
      <c r="D4575" s="8"/>
      <c r="E4575" s="39"/>
      <c r="F4575" s="40"/>
    </row>
    <row r="4576" spans="2:6">
      <c r="B4576" s="8"/>
      <c r="C4576" s="8"/>
      <c r="D4576" s="8"/>
      <c r="E4576" s="39"/>
      <c r="F4576" s="40"/>
    </row>
    <row r="4577" spans="2:6">
      <c r="B4577" s="8"/>
      <c r="C4577" s="8"/>
      <c r="D4577" s="8"/>
      <c r="E4577" s="39"/>
      <c r="F4577" s="40"/>
    </row>
    <row r="4578" spans="2:6">
      <c r="B4578" s="8"/>
      <c r="C4578" s="8"/>
      <c r="D4578" s="8"/>
      <c r="E4578" s="39"/>
      <c r="F4578" s="40"/>
    </row>
    <row r="4579" spans="2:6">
      <c r="B4579" s="8"/>
      <c r="C4579" s="8"/>
      <c r="D4579" s="8"/>
      <c r="E4579" s="39"/>
      <c r="F4579" s="40"/>
    </row>
    <row r="4580" spans="2:6">
      <c r="B4580" s="8"/>
      <c r="C4580" s="8"/>
      <c r="D4580" s="8"/>
      <c r="E4580" s="39"/>
      <c r="F4580" s="40"/>
    </row>
    <row r="4581" spans="2:6">
      <c r="B4581" s="8"/>
      <c r="C4581" s="8"/>
      <c r="D4581" s="8"/>
      <c r="E4581" s="39"/>
      <c r="F4581" s="40"/>
    </row>
    <row r="4582" spans="2:6">
      <c r="B4582" s="8"/>
      <c r="C4582" s="8"/>
      <c r="D4582" s="8"/>
      <c r="E4582" s="39"/>
      <c r="F4582" s="40"/>
    </row>
    <row r="4583" spans="2:6">
      <c r="B4583" s="8"/>
      <c r="C4583" s="8"/>
      <c r="D4583" s="8"/>
      <c r="E4583" s="39"/>
      <c r="F4583" s="40"/>
    </row>
    <row r="4584" spans="2:6">
      <c r="B4584" s="8"/>
      <c r="C4584" s="8"/>
      <c r="D4584" s="8"/>
      <c r="E4584" s="39"/>
      <c r="F4584" s="40"/>
    </row>
    <row r="4585" spans="2:6">
      <c r="B4585" s="8"/>
      <c r="C4585" s="8"/>
      <c r="D4585" s="8"/>
      <c r="E4585" s="39"/>
      <c r="F4585" s="40"/>
    </row>
    <row r="4586" spans="2:6">
      <c r="B4586" s="8"/>
      <c r="C4586" s="8"/>
      <c r="D4586" s="8"/>
      <c r="E4586" s="39"/>
      <c r="F4586" s="40"/>
    </row>
    <row r="4587" spans="2:6">
      <c r="B4587" s="8"/>
      <c r="C4587" s="8"/>
      <c r="D4587" s="8"/>
      <c r="E4587" s="39"/>
      <c r="F4587" s="40"/>
    </row>
    <row r="4588" spans="2:6">
      <c r="B4588" s="8"/>
      <c r="C4588" s="8"/>
      <c r="D4588" s="8"/>
      <c r="E4588" s="39"/>
      <c r="F4588" s="40"/>
    </row>
    <row r="4589" spans="2:6">
      <c r="B4589" s="8"/>
      <c r="C4589" s="8"/>
      <c r="D4589" s="8"/>
      <c r="E4589" s="39"/>
      <c r="F4589" s="40"/>
    </row>
    <row r="4590" spans="2:6">
      <c r="B4590" s="8"/>
      <c r="C4590" s="8"/>
      <c r="D4590" s="8"/>
      <c r="E4590" s="39"/>
      <c r="F4590" s="40"/>
    </row>
    <row r="4591" spans="2:6">
      <c r="B4591" s="8"/>
      <c r="C4591" s="8"/>
      <c r="D4591" s="8"/>
      <c r="E4591" s="39"/>
      <c r="F4591" s="40"/>
    </row>
    <row r="4592" spans="2:6">
      <c r="B4592" s="8"/>
      <c r="C4592" s="8"/>
      <c r="D4592" s="8"/>
      <c r="E4592" s="39"/>
      <c r="F4592" s="40"/>
    </row>
    <row r="4593" spans="2:6">
      <c r="B4593" s="8"/>
      <c r="C4593" s="8"/>
      <c r="D4593" s="8"/>
      <c r="E4593" s="39"/>
      <c r="F4593" s="40"/>
    </row>
    <row r="4594" spans="2:6">
      <c r="B4594" s="8"/>
      <c r="C4594" s="8"/>
      <c r="D4594" s="8"/>
      <c r="E4594" s="39"/>
      <c r="F4594" s="40"/>
    </row>
    <row r="4595" spans="2:6">
      <c r="B4595" s="8"/>
      <c r="C4595" s="8"/>
      <c r="D4595" s="8"/>
      <c r="E4595" s="39"/>
      <c r="F4595" s="40"/>
    </row>
    <row r="4596" spans="2:6">
      <c r="B4596" s="8"/>
      <c r="C4596" s="8"/>
      <c r="D4596" s="8"/>
      <c r="E4596" s="39"/>
      <c r="F4596" s="40"/>
    </row>
    <row r="4597" spans="2:6">
      <c r="B4597" s="8"/>
      <c r="C4597" s="8"/>
      <c r="D4597" s="8"/>
      <c r="E4597" s="39"/>
      <c r="F4597" s="40"/>
    </row>
    <row r="4598" spans="2:6">
      <c r="B4598" s="8"/>
      <c r="C4598" s="8"/>
      <c r="D4598" s="8"/>
      <c r="E4598" s="39"/>
      <c r="F4598" s="40"/>
    </row>
    <row r="4599" spans="2:6">
      <c r="B4599" s="8"/>
      <c r="C4599" s="8"/>
      <c r="D4599" s="8"/>
      <c r="E4599" s="39"/>
      <c r="F4599" s="40"/>
    </row>
    <row r="4600" spans="2:6">
      <c r="B4600" s="8"/>
      <c r="C4600" s="8"/>
      <c r="D4600" s="8"/>
      <c r="E4600" s="39"/>
      <c r="F4600" s="40"/>
    </row>
    <row r="4601" spans="2:6">
      <c r="B4601" s="8"/>
      <c r="C4601" s="8"/>
      <c r="D4601" s="8"/>
      <c r="E4601" s="39"/>
      <c r="F4601" s="40"/>
    </row>
    <row r="4602" spans="2:6">
      <c r="B4602" s="8"/>
      <c r="C4602" s="8"/>
      <c r="D4602" s="8"/>
      <c r="E4602" s="39"/>
      <c r="F4602" s="40"/>
    </row>
    <row r="4603" spans="2:6">
      <c r="B4603" s="8"/>
      <c r="C4603" s="8"/>
      <c r="D4603" s="8"/>
      <c r="E4603" s="39"/>
      <c r="F4603" s="40"/>
    </row>
    <row r="4604" spans="2:6">
      <c r="B4604" s="8"/>
      <c r="C4604" s="8"/>
      <c r="D4604" s="8"/>
      <c r="E4604" s="39"/>
      <c r="F4604" s="40"/>
    </row>
    <row r="4605" spans="2:6">
      <c r="B4605" s="8"/>
      <c r="C4605" s="8"/>
      <c r="D4605" s="8"/>
      <c r="E4605" s="39"/>
      <c r="F4605" s="40"/>
    </row>
    <row r="4606" spans="2:6">
      <c r="B4606" s="8"/>
      <c r="C4606" s="8"/>
      <c r="D4606" s="8"/>
      <c r="E4606" s="39"/>
      <c r="F4606" s="40"/>
    </row>
    <row r="4607" spans="2:6">
      <c r="B4607" s="8"/>
      <c r="C4607" s="8"/>
      <c r="D4607" s="8"/>
      <c r="E4607" s="39"/>
      <c r="F4607" s="40"/>
    </row>
    <row r="4608" spans="2:6">
      <c r="B4608" s="8"/>
      <c r="C4608" s="8"/>
      <c r="D4608" s="8"/>
      <c r="E4608" s="39"/>
      <c r="F4608" s="40"/>
    </row>
    <row r="4609" spans="2:6">
      <c r="B4609" s="8"/>
      <c r="C4609" s="8"/>
      <c r="D4609" s="8"/>
      <c r="E4609" s="39"/>
      <c r="F4609" s="40"/>
    </row>
    <row r="4610" spans="2:6">
      <c r="B4610" s="8"/>
      <c r="C4610" s="8"/>
      <c r="D4610" s="8"/>
      <c r="E4610" s="39"/>
      <c r="F4610" s="40"/>
    </row>
    <row r="4611" spans="2:6">
      <c r="B4611" s="8"/>
      <c r="C4611" s="8"/>
      <c r="D4611" s="8"/>
      <c r="E4611" s="39"/>
      <c r="F4611" s="40"/>
    </row>
    <row r="4612" spans="2:6">
      <c r="B4612" s="8"/>
      <c r="C4612" s="8"/>
      <c r="D4612" s="8"/>
      <c r="E4612" s="39"/>
      <c r="F4612" s="40"/>
    </row>
    <row r="4613" spans="2:6">
      <c r="B4613" s="8"/>
      <c r="C4613" s="8"/>
      <c r="D4613" s="8"/>
      <c r="E4613" s="39"/>
      <c r="F4613" s="40"/>
    </row>
    <row r="4614" spans="2:6">
      <c r="B4614" s="8"/>
      <c r="C4614" s="8"/>
      <c r="D4614" s="8"/>
      <c r="E4614" s="39"/>
      <c r="F4614" s="40"/>
    </row>
    <row r="4615" spans="2:6">
      <c r="B4615" s="8"/>
      <c r="C4615" s="8"/>
      <c r="D4615" s="8"/>
      <c r="E4615" s="39"/>
      <c r="F4615" s="40"/>
    </row>
    <row r="4616" spans="2:6">
      <c r="B4616" s="8"/>
      <c r="C4616" s="8"/>
      <c r="D4616" s="8"/>
      <c r="E4616" s="39"/>
      <c r="F4616" s="40"/>
    </row>
    <row r="4617" spans="2:6">
      <c r="B4617" s="8"/>
      <c r="C4617" s="8"/>
      <c r="D4617" s="8"/>
      <c r="E4617" s="39"/>
      <c r="F4617" s="40"/>
    </row>
    <row r="4618" spans="2:6">
      <c r="B4618" s="8"/>
      <c r="C4618" s="8"/>
      <c r="D4618" s="8"/>
      <c r="E4618" s="39"/>
      <c r="F4618" s="40"/>
    </row>
    <row r="4619" spans="2:6">
      <c r="B4619" s="8"/>
      <c r="C4619" s="8"/>
      <c r="D4619" s="8"/>
      <c r="E4619" s="39"/>
      <c r="F4619" s="40"/>
    </row>
    <row r="4620" spans="2:6">
      <c r="B4620" s="8"/>
      <c r="C4620" s="8"/>
      <c r="D4620" s="8"/>
      <c r="E4620" s="39"/>
      <c r="F4620" s="40"/>
    </row>
    <row r="4621" spans="2:6">
      <c r="B4621" s="8"/>
      <c r="C4621" s="8"/>
      <c r="D4621" s="8"/>
      <c r="E4621" s="39"/>
      <c r="F4621" s="40"/>
    </row>
    <row r="4622" spans="2:6">
      <c r="B4622" s="8"/>
      <c r="C4622" s="8"/>
      <c r="D4622" s="8"/>
      <c r="E4622" s="39"/>
      <c r="F4622" s="40"/>
    </row>
    <row r="4623" spans="2:6">
      <c r="B4623" s="8"/>
      <c r="C4623" s="8"/>
      <c r="D4623" s="8"/>
      <c r="E4623" s="39"/>
      <c r="F4623" s="40"/>
    </row>
    <row r="4624" spans="2:6">
      <c r="B4624" s="8"/>
      <c r="C4624" s="8"/>
      <c r="D4624" s="8"/>
      <c r="E4624" s="39"/>
      <c r="F4624" s="40"/>
    </row>
    <row r="4625" spans="2:6">
      <c r="B4625" s="8"/>
      <c r="C4625" s="8"/>
      <c r="D4625" s="8"/>
      <c r="E4625" s="39"/>
      <c r="F4625" s="40"/>
    </row>
    <row r="4626" spans="2:6">
      <c r="B4626" s="8"/>
      <c r="C4626" s="8"/>
      <c r="D4626" s="8"/>
      <c r="E4626" s="39"/>
      <c r="F4626" s="40"/>
    </row>
    <row r="4627" spans="2:6">
      <c r="B4627" s="8"/>
      <c r="C4627" s="8"/>
      <c r="D4627" s="8"/>
      <c r="E4627" s="39"/>
      <c r="F4627" s="40"/>
    </row>
    <row r="4628" spans="2:6">
      <c r="B4628" s="8"/>
      <c r="C4628" s="8"/>
      <c r="D4628" s="8"/>
      <c r="E4628" s="39"/>
      <c r="F4628" s="40"/>
    </row>
    <row r="4629" spans="2:6">
      <c r="B4629" s="8"/>
      <c r="C4629" s="8"/>
      <c r="D4629" s="8"/>
      <c r="E4629" s="39"/>
      <c r="F4629" s="40"/>
    </row>
    <row r="4630" spans="2:6">
      <c r="B4630" s="8"/>
      <c r="C4630" s="8"/>
      <c r="D4630" s="8"/>
      <c r="E4630" s="39"/>
      <c r="F4630" s="40"/>
    </row>
    <row r="4631" spans="2:6">
      <c r="B4631" s="8"/>
      <c r="C4631" s="8"/>
      <c r="D4631" s="8"/>
      <c r="E4631" s="39"/>
      <c r="F4631" s="40"/>
    </row>
    <row r="4632" spans="2:6">
      <c r="B4632" s="8"/>
      <c r="C4632" s="8"/>
      <c r="D4632" s="8"/>
      <c r="E4632" s="39"/>
      <c r="F4632" s="40"/>
    </row>
    <row r="4633" spans="2:6">
      <c r="B4633" s="8"/>
      <c r="C4633" s="8"/>
      <c r="D4633" s="8"/>
      <c r="E4633" s="39"/>
      <c r="F4633" s="40"/>
    </row>
    <row r="4634" spans="2:6">
      <c r="B4634" s="8"/>
      <c r="C4634" s="8"/>
      <c r="D4634" s="8"/>
      <c r="E4634" s="39"/>
      <c r="F4634" s="40"/>
    </row>
    <row r="4635" spans="2:6">
      <c r="B4635" s="8"/>
      <c r="C4635" s="8"/>
      <c r="D4635" s="8"/>
      <c r="E4635" s="39"/>
      <c r="F4635" s="40"/>
    </row>
    <row r="4636" spans="2:6">
      <c r="B4636" s="8"/>
      <c r="C4636" s="8"/>
      <c r="D4636" s="8"/>
      <c r="E4636" s="39"/>
      <c r="F4636" s="40"/>
    </row>
    <row r="4637" spans="2:6">
      <c r="B4637" s="8"/>
      <c r="C4637" s="8"/>
      <c r="D4637" s="8"/>
      <c r="E4637" s="39"/>
      <c r="F4637" s="40"/>
    </row>
    <row r="4638" spans="2:6">
      <c r="B4638" s="8"/>
      <c r="C4638" s="8"/>
      <c r="D4638" s="8"/>
      <c r="E4638" s="39"/>
      <c r="F4638" s="40"/>
    </row>
    <row r="4639" spans="2:6">
      <c r="B4639" s="8"/>
      <c r="C4639" s="8"/>
      <c r="D4639" s="8"/>
      <c r="E4639" s="39"/>
      <c r="F4639" s="40"/>
    </row>
    <row r="4640" spans="2:6">
      <c r="B4640" s="8"/>
      <c r="C4640" s="8"/>
      <c r="D4640" s="8"/>
      <c r="E4640" s="39"/>
      <c r="F4640" s="40"/>
    </row>
    <row r="4641" spans="2:6">
      <c r="B4641" s="8"/>
      <c r="C4641" s="8"/>
      <c r="D4641" s="8"/>
      <c r="E4641" s="39"/>
      <c r="F4641" s="40"/>
    </row>
    <row r="4642" spans="2:6">
      <c r="B4642" s="8"/>
      <c r="C4642" s="8"/>
      <c r="D4642" s="8"/>
      <c r="E4642" s="39"/>
      <c r="F4642" s="40"/>
    </row>
    <row r="4643" spans="2:6">
      <c r="B4643" s="8"/>
      <c r="C4643" s="8"/>
      <c r="D4643" s="8"/>
      <c r="E4643" s="39"/>
      <c r="F4643" s="40"/>
    </row>
    <row r="4644" spans="2:6">
      <c r="B4644" s="8"/>
      <c r="C4644" s="8"/>
      <c r="D4644" s="8"/>
      <c r="E4644" s="39"/>
      <c r="F4644" s="40"/>
    </row>
    <row r="4645" spans="2:6">
      <c r="B4645" s="8"/>
      <c r="C4645" s="8"/>
      <c r="D4645" s="8"/>
      <c r="E4645" s="39"/>
      <c r="F4645" s="40"/>
    </row>
    <row r="4646" spans="2:6">
      <c r="B4646" s="8"/>
      <c r="C4646" s="8"/>
      <c r="D4646" s="8"/>
      <c r="E4646" s="39"/>
      <c r="F4646" s="40"/>
    </row>
    <row r="4647" spans="2:6">
      <c r="B4647" s="8"/>
      <c r="C4647" s="8"/>
      <c r="D4647" s="8"/>
      <c r="E4647" s="39"/>
      <c r="F4647" s="40"/>
    </row>
    <row r="4648" spans="2:6">
      <c r="B4648" s="8"/>
      <c r="C4648" s="8"/>
      <c r="D4648" s="8"/>
      <c r="E4648" s="39"/>
      <c r="F4648" s="40"/>
    </row>
    <row r="4649" spans="2:6">
      <c r="B4649" s="8"/>
      <c r="C4649" s="8"/>
      <c r="D4649" s="8"/>
      <c r="E4649" s="39"/>
      <c r="F4649" s="40"/>
    </row>
    <row r="4650" spans="2:6">
      <c r="B4650" s="8"/>
      <c r="C4650" s="8"/>
      <c r="D4650" s="8"/>
      <c r="E4650" s="39"/>
      <c r="F4650" s="40"/>
    </row>
    <row r="4651" spans="2:6">
      <c r="B4651" s="8"/>
      <c r="C4651" s="8"/>
      <c r="D4651" s="8"/>
      <c r="E4651" s="39"/>
      <c r="F4651" s="40"/>
    </row>
    <row r="4652" spans="2:6">
      <c r="B4652" s="8"/>
      <c r="C4652" s="8"/>
      <c r="D4652" s="8"/>
      <c r="E4652" s="39"/>
      <c r="F4652" s="40"/>
    </row>
    <row r="4653" spans="2:6">
      <c r="B4653" s="8"/>
      <c r="C4653" s="8"/>
      <c r="D4653" s="8"/>
      <c r="E4653" s="39"/>
      <c r="F4653" s="40"/>
    </row>
    <row r="4654" spans="2:6">
      <c r="B4654" s="8"/>
      <c r="C4654" s="8"/>
      <c r="D4654" s="8"/>
      <c r="E4654" s="39"/>
      <c r="F4654" s="40"/>
    </row>
    <row r="4655" spans="2:6">
      <c r="B4655" s="8"/>
      <c r="C4655" s="8"/>
      <c r="D4655" s="8"/>
      <c r="E4655" s="39"/>
      <c r="F4655" s="40"/>
    </row>
    <row r="4656" spans="2:6">
      <c r="B4656" s="8"/>
      <c r="C4656" s="8"/>
      <c r="D4656" s="8"/>
      <c r="E4656" s="39"/>
      <c r="F4656" s="40"/>
    </row>
    <row r="4657" spans="2:6">
      <c r="B4657" s="8"/>
      <c r="C4657" s="8"/>
      <c r="D4657" s="8"/>
      <c r="E4657" s="39"/>
      <c r="F4657" s="40"/>
    </row>
    <row r="4658" spans="2:6">
      <c r="B4658" s="8"/>
      <c r="C4658" s="8"/>
      <c r="D4658" s="8"/>
      <c r="E4658" s="39"/>
      <c r="F4658" s="40"/>
    </row>
    <row r="4659" spans="2:6">
      <c r="B4659" s="8"/>
      <c r="C4659" s="8"/>
      <c r="D4659" s="8"/>
      <c r="E4659" s="39"/>
      <c r="F4659" s="40"/>
    </row>
    <row r="4660" spans="2:6">
      <c r="B4660" s="8"/>
      <c r="C4660" s="8"/>
      <c r="D4660" s="8"/>
      <c r="E4660" s="39"/>
      <c r="F4660" s="40"/>
    </row>
    <row r="4661" spans="2:6">
      <c r="B4661" s="8"/>
      <c r="C4661" s="8"/>
      <c r="D4661" s="8"/>
      <c r="E4661" s="39"/>
      <c r="F4661" s="40"/>
    </row>
    <row r="4662" spans="2:6">
      <c r="B4662" s="8"/>
      <c r="C4662" s="8"/>
      <c r="D4662" s="8"/>
      <c r="E4662" s="39"/>
      <c r="F4662" s="40"/>
    </row>
    <row r="4663" spans="2:6">
      <c r="B4663" s="8"/>
      <c r="C4663" s="8"/>
      <c r="D4663" s="8"/>
      <c r="E4663" s="39"/>
      <c r="F4663" s="40"/>
    </row>
    <row r="4664" spans="2:6">
      <c r="B4664" s="8"/>
      <c r="C4664" s="8"/>
      <c r="D4664" s="8"/>
      <c r="E4664" s="39"/>
      <c r="F4664" s="40"/>
    </row>
    <row r="4665" spans="2:6">
      <c r="B4665" s="8"/>
      <c r="C4665" s="8"/>
      <c r="D4665" s="8"/>
      <c r="E4665" s="39"/>
      <c r="F4665" s="40"/>
    </row>
    <row r="4666" spans="2:6">
      <c r="B4666" s="8"/>
      <c r="C4666" s="8"/>
      <c r="D4666" s="8"/>
      <c r="E4666" s="39"/>
      <c r="F4666" s="40"/>
    </row>
    <row r="4667" spans="2:6">
      <c r="B4667" s="8"/>
      <c r="C4667" s="8"/>
      <c r="D4667" s="8"/>
      <c r="E4667" s="39"/>
      <c r="F4667" s="40"/>
    </row>
    <row r="4668" spans="2:6">
      <c r="B4668" s="8"/>
      <c r="C4668" s="8"/>
      <c r="D4668" s="8"/>
      <c r="E4668" s="39"/>
      <c r="F4668" s="40"/>
    </row>
    <row r="4669" spans="2:6">
      <c r="B4669" s="8"/>
      <c r="C4669" s="8"/>
      <c r="D4669" s="8"/>
      <c r="E4669" s="39"/>
      <c r="F4669" s="40"/>
    </row>
    <row r="4670" spans="2:6">
      <c r="B4670" s="8"/>
      <c r="C4670" s="8"/>
      <c r="D4670" s="8"/>
      <c r="E4670" s="39"/>
      <c r="F4670" s="40"/>
    </row>
    <row r="4671" spans="2:6">
      <c r="B4671" s="8"/>
      <c r="C4671" s="8"/>
      <c r="D4671" s="8"/>
      <c r="E4671" s="39"/>
      <c r="F4671" s="40"/>
    </row>
    <row r="4672" spans="2:6">
      <c r="B4672" s="8"/>
      <c r="C4672" s="8"/>
      <c r="D4672" s="8"/>
      <c r="E4672" s="39"/>
      <c r="F4672" s="40"/>
    </row>
    <row r="4673" spans="2:6">
      <c r="B4673" s="8"/>
      <c r="C4673" s="8"/>
      <c r="D4673" s="8"/>
      <c r="E4673" s="39"/>
      <c r="F4673" s="40"/>
    </row>
    <row r="4674" spans="2:6">
      <c r="B4674" s="8"/>
      <c r="C4674" s="8"/>
      <c r="D4674" s="8"/>
      <c r="E4674" s="39"/>
      <c r="F4674" s="40"/>
    </row>
    <row r="4675" spans="2:6">
      <c r="B4675" s="8"/>
      <c r="C4675" s="8"/>
      <c r="D4675" s="8"/>
      <c r="E4675" s="39"/>
      <c r="F4675" s="40"/>
    </row>
    <row r="4676" spans="2:6">
      <c r="B4676" s="8"/>
      <c r="C4676" s="8"/>
      <c r="D4676" s="8"/>
      <c r="E4676" s="39"/>
      <c r="F4676" s="40"/>
    </row>
    <row r="4677" spans="2:6">
      <c r="B4677" s="8"/>
      <c r="C4677" s="8"/>
      <c r="D4677" s="8"/>
      <c r="E4677" s="39"/>
      <c r="F4677" s="40"/>
    </row>
    <row r="4678" spans="2:6">
      <c r="B4678" s="8"/>
      <c r="C4678" s="8"/>
      <c r="D4678" s="8"/>
      <c r="E4678" s="39"/>
      <c r="F4678" s="40"/>
    </row>
    <row r="4679" spans="2:6">
      <c r="B4679" s="8"/>
      <c r="C4679" s="8"/>
      <c r="D4679" s="8"/>
      <c r="E4679" s="39"/>
      <c r="F4679" s="40"/>
    </row>
    <row r="4680" spans="2:6">
      <c r="B4680" s="8"/>
      <c r="C4680" s="8"/>
      <c r="D4680" s="8"/>
      <c r="E4680" s="39"/>
      <c r="F4680" s="40"/>
    </row>
    <row r="4681" spans="2:6">
      <c r="B4681" s="8"/>
      <c r="C4681" s="8"/>
      <c r="D4681" s="8"/>
      <c r="E4681" s="39"/>
      <c r="F4681" s="40"/>
    </row>
    <row r="4682" spans="2:6">
      <c r="B4682" s="8"/>
      <c r="C4682" s="8"/>
      <c r="D4682" s="8"/>
      <c r="E4682" s="39"/>
      <c r="F4682" s="40"/>
    </row>
    <row r="4683" spans="2:6">
      <c r="B4683" s="8"/>
      <c r="C4683" s="8"/>
      <c r="D4683" s="8"/>
      <c r="E4683" s="39"/>
      <c r="F4683" s="40"/>
    </row>
    <row r="4684" spans="2:6">
      <c r="B4684" s="8"/>
      <c r="C4684" s="8"/>
      <c r="D4684" s="8"/>
      <c r="E4684" s="39"/>
      <c r="F4684" s="40"/>
    </row>
    <row r="4685" spans="2:6">
      <c r="B4685" s="8"/>
      <c r="C4685" s="8"/>
      <c r="D4685" s="8"/>
      <c r="E4685" s="39"/>
      <c r="F4685" s="40"/>
    </row>
    <row r="4686" spans="2:6">
      <c r="B4686" s="8"/>
      <c r="C4686" s="8"/>
      <c r="D4686" s="8"/>
      <c r="E4686" s="39"/>
      <c r="F4686" s="40"/>
    </row>
    <row r="4687" spans="2:6">
      <c r="B4687" s="8"/>
      <c r="C4687" s="8"/>
      <c r="D4687" s="8"/>
      <c r="E4687" s="39"/>
      <c r="F4687" s="40"/>
    </row>
    <row r="4688" spans="2:6">
      <c r="B4688" s="8"/>
      <c r="C4688" s="8"/>
      <c r="D4688" s="8"/>
      <c r="E4688" s="39"/>
      <c r="F4688" s="40"/>
    </row>
    <row r="4689" spans="2:6">
      <c r="B4689" s="8"/>
      <c r="C4689" s="8"/>
      <c r="D4689" s="8"/>
      <c r="E4689" s="39"/>
      <c r="F4689" s="40"/>
    </row>
    <row r="4690" spans="2:6">
      <c r="B4690" s="8"/>
      <c r="C4690" s="8"/>
      <c r="D4690" s="8"/>
      <c r="E4690" s="39"/>
      <c r="F4690" s="40"/>
    </row>
    <row r="4691" spans="2:6">
      <c r="B4691" s="8"/>
      <c r="C4691" s="8"/>
      <c r="D4691" s="8"/>
      <c r="E4691" s="39"/>
      <c r="F4691" s="40"/>
    </row>
    <row r="4692" spans="2:6">
      <c r="B4692" s="8"/>
      <c r="C4692" s="8"/>
      <c r="D4692" s="8"/>
      <c r="E4692" s="39"/>
      <c r="F4692" s="40"/>
    </row>
    <row r="4693" spans="2:6">
      <c r="B4693" s="8"/>
      <c r="C4693" s="8"/>
      <c r="D4693" s="8"/>
      <c r="E4693" s="39"/>
      <c r="F4693" s="40"/>
    </row>
    <row r="4694" spans="2:6">
      <c r="B4694" s="8"/>
      <c r="C4694" s="8"/>
      <c r="D4694" s="8"/>
      <c r="E4694" s="39"/>
      <c r="F4694" s="40"/>
    </row>
    <row r="4695" spans="2:6">
      <c r="B4695" s="8"/>
      <c r="C4695" s="8"/>
      <c r="D4695" s="8"/>
      <c r="E4695" s="39"/>
      <c r="F4695" s="40"/>
    </row>
    <row r="4696" spans="2:6">
      <c r="B4696" s="8"/>
      <c r="C4696" s="8"/>
      <c r="D4696" s="8"/>
      <c r="E4696" s="39"/>
      <c r="F4696" s="40"/>
    </row>
    <row r="4697" spans="2:6">
      <c r="B4697" s="8"/>
      <c r="C4697" s="8"/>
      <c r="D4697" s="8"/>
      <c r="E4697" s="39"/>
      <c r="F4697" s="40"/>
    </row>
    <row r="4698" spans="2:6">
      <c r="B4698" s="8"/>
      <c r="C4698" s="8"/>
      <c r="D4698" s="8"/>
      <c r="E4698" s="39"/>
      <c r="F4698" s="40"/>
    </row>
    <row r="4699" spans="2:6">
      <c r="B4699" s="8"/>
      <c r="C4699" s="8"/>
      <c r="D4699" s="8"/>
      <c r="E4699" s="39"/>
      <c r="F4699" s="40"/>
    </row>
    <row r="4700" spans="2:6">
      <c r="B4700" s="8"/>
      <c r="C4700" s="8"/>
      <c r="D4700" s="8"/>
      <c r="E4700" s="39"/>
      <c r="F4700" s="40"/>
    </row>
    <row r="4701" spans="2:6">
      <c r="B4701" s="8"/>
      <c r="C4701" s="8"/>
      <c r="D4701" s="8"/>
      <c r="E4701" s="39"/>
      <c r="F4701" s="40"/>
    </row>
    <row r="4702" spans="2:6">
      <c r="B4702" s="8"/>
      <c r="C4702" s="8"/>
      <c r="D4702" s="8"/>
      <c r="E4702" s="39"/>
      <c r="F4702" s="40"/>
    </row>
    <row r="4703" spans="2:6">
      <c r="B4703" s="8"/>
      <c r="C4703" s="8"/>
      <c r="D4703" s="8"/>
      <c r="E4703" s="39"/>
      <c r="F4703" s="40"/>
    </row>
    <row r="4704" spans="2:6">
      <c r="B4704" s="8"/>
      <c r="C4704" s="8"/>
      <c r="D4704" s="8"/>
      <c r="E4704" s="39"/>
      <c r="F4704" s="40"/>
    </row>
    <row r="4705" spans="2:6">
      <c r="B4705" s="8"/>
      <c r="C4705" s="8"/>
      <c r="D4705" s="8"/>
      <c r="E4705" s="39"/>
      <c r="F4705" s="40"/>
    </row>
    <row r="4706" spans="2:6">
      <c r="B4706" s="8"/>
      <c r="C4706" s="8"/>
      <c r="D4706" s="8"/>
      <c r="E4706" s="39"/>
      <c r="F4706" s="40"/>
    </row>
    <row r="4707" spans="2:6">
      <c r="B4707" s="8"/>
      <c r="C4707" s="8"/>
      <c r="D4707" s="8"/>
      <c r="E4707" s="39"/>
      <c r="F4707" s="40"/>
    </row>
    <row r="4708" spans="2:6">
      <c r="B4708" s="8"/>
      <c r="C4708" s="8"/>
      <c r="D4708" s="8"/>
      <c r="E4708" s="39"/>
      <c r="F4708" s="40"/>
    </row>
    <row r="4709" spans="2:6">
      <c r="B4709" s="8"/>
      <c r="C4709" s="8"/>
      <c r="D4709" s="8"/>
      <c r="E4709" s="39"/>
      <c r="F4709" s="40"/>
    </row>
    <row r="4710" spans="2:6">
      <c r="B4710" s="8"/>
      <c r="C4710" s="8"/>
      <c r="D4710" s="8"/>
      <c r="E4710" s="39"/>
      <c r="F4710" s="40"/>
    </row>
    <row r="4711" spans="2:6">
      <c r="B4711" s="8"/>
      <c r="C4711" s="8"/>
      <c r="D4711" s="8"/>
      <c r="E4711" s="39"/>
      <c r="F4711" s="40"/>
    </row>
    <row r="4712" spans="2:6">
      <c r="B4712" s="8"/>
      <c r="C4712" s="8"/>
      <c r="D4712" s="8"/>
      <c r="E4712" s="39"/>
      <c r="F4712" s="40"/>
    </row>
    <row r="4713" spans="2:6">
      <c r="B4713" s="8"/>
      <c r="C4713" s="8"/>
      <c r="D4713" s="8"/>
      <c r="E4713" s="39"/>
      <c r="F4713" s="40"/>
    </row>
    <row r="4714" spans="2:6">
      <c r="B4714" s="8"/>
      <c r="C4714" s="8"/>
      <c r="D4714" s="8"/>
      <c r="E4714" s="39"/>
      <c r="F4714" s="40"/>
    </row>
    <row r="4715" spans="2:6">
      <c r="B4715" s="8"/>
      <c r="C4715" s="8"/>
      <c r="D4715" s="8"/>
      <c r="E4715" s="39"/>
      <c r="F4715" s="40"/>
    </row>
    <row r="4716" spans="2:6">
      <c r="B4716" s="8"/>
      <c r="C4716" s="8"/>
      <c r="D4716" s="8"/>
      <c r="E4716" s="39"/>
      <c r="F4716" s="40"/>
    </row>
    <row r="4717" spans="2:6">
      <c r="B4717" s="8"/>
      <c r="C4717" s="8"/>
      <c r="D4717" s="8"/>
      <c r="E4717" s="39"/>
      <c r="F4717" s="40"/>
    </row>
    <row r="4718" spans="2:6">
      <c r="B4718" s="8"/>
      <c r="C4718" s="8"/>
      <c r="D4718" s="8"/>
      <c r="E4718" s="39"/>
      <c r="F4718" s="40"/>
    </row>
    <row r="4719" spans="2:6">
      <c r="B4719" s="8"/>
      <c r="C4719" s="8"/>
      <c r="D4719" s="8"/>
      <c r="E4719" s="39"/>
      <c r="F4719" s="40"/>
    </row>
    <row r="4720" spans="2:6">
      <c r="B4720" s="8"/>
      <c r="C4720" s="8"/>
      <c r="D4720" s="8"/>
      <c r="E4720" s="39"/>
      <c r="F4720" s="40"/>
    </row>
    <row r="4721" spans="2:6">
      <c r="B4721" s="8"/>
      <c r="C4721" s="8"/>
      <c r="D4721" s="8"/>
      <c r="E4721" s="39"/>
      <c r="F4721" s="40"/>
    </row>
    <row r="4722" spans="2:6">
      <c r="B4722" s="8"/>
      <c r="C4722" s="8"/>
      <c r="D4722" s="8"/>
      <c r="E4722" s="39"/>
      <c r="F4722" s="40"/>
    </row>
    <row r="4723" spans="2:6">
      <c r="B4723" s="8"/>
      <c r="C4723" s="8"/>
      <c r="D4723" s="8"/>
      <c r="E4723" s="39"/>
      <c r="F4723" s="40"/>
    </row>
    <row r="4724" spans="2:6">
      <c r="B4724" s="8"/>
      <c r="C4724" s="8"/>
      <c r="D4724" s="8"/>
      <c r="E4724" s="39"/>
      <c r="F4724" s="40"/>
    </row>
    <row r="4725" spans="2:6">
      <c r="B4725" s="8"/>
      <c r="C4725" s="8"/>
      <c r="D4725" s="8"/>
      <c r="E4725" s="39"/>
      <c r="F4725" s="40"/>
    </row>
    <row r="4726" spans="2:6">
      <c r="B4726" s="8"/>
      <c r="C4726" s="8"/>
      <c r="D4726" s="8"/>
      <c r="E4726" s="39"/>
      <c r="F4726" s="40"/>
    </row>
    <row r="4727" spans="2:6">
      <c r="B4727" s="8"/>
      <c r="C4727" s="8"/>
      <c r="D4727" s="8"/>
      <c r="E4727" s="39"/>
      <c r="F4727" s="40"/>
    </row>
    <row r="4728" spans="2:6">
      <c r="B4728" s="8"/>
      <c r="C4728" s="8"/>
      <c r="D4728" s="8"/>
      <c r="E4728" s="39"/>
      <c r="F4728" s="40"/>
    </row>
    <row r="4729" spans="2:6">
      <c r="B4729" s="8"/>
      <c r="C4729" s="8"/>
      <c r="D4729" s="8"/>
      <c r="E4729" s="39"/>
      <c r="F4729" s="40"/>
    </row>
    <row r="4730" spans="2:6">
      <c r="B4730" s="8"/>
      <c r="C4730" s="8"/>
      <c r="D4730" s="8"/>
      <c r="E4730" s="39"/>
      <c r="F4730" s="40"/>
    </row>
    <row r="4731" spans="2:6">
      <c r="B4731" s="8"/>
      <c r="C4731" s="8"/>
      <c r="D4731" s="8"/>
      <c r="E4731" s="39"/>
      <c r="F4731" s="40"/>
    </row>
    <row r="4732" spans="2:6">
      <c r="B4732" s="8"/>
      <c r="C4732" s="8"/>
      <c r="D4732" s="8"/>
      <c r="E4732" s="39"/>
      <c r="F4732" s="40"/>
    </row>
    <row r="4733" spans="2:6">
      <c r="B4733" s="8"/>
      <c r="C4733" s="8"/>
      <c r="D4733" s="8"/>
      <c r="E4733" s="39"/>
      <c r="F4733" s="40"/>
    </row>
    <row r="4734" spans="2:6">
      <c r="B4734" s="8"/>
      <c r="C4734" s="8"/>
      <c r="D4734" s="8"/>
      <c r="E4734" s="39"/>
      <c r="F4734" s="40"/>
    </row>
    <row r="4735" spans="2:6">
      <c r="B4735" s="8"/>
      <c r="C4735" s="8"/>
      <c r="D4735" s="8"/>
      <c r="E4735" s="39"/>
      <c r="F4735" s="40"/>
    </row>
    <row r="4736" spans="2:6">
      <c r="B4736" s="8"/>
      <c r="C4736" s="8"/>
      <c r="D4736" s="8"/>
      <c r="E4736" s="39"/>
      <c r="F4736" s="40"/>
    </row>
    <row r="4737" spans="2:6">
      <c r="B4737" s="8"/>
      <c r="C4737" s="8"/>
      <c r="D4737" s="8"/>
      <c r="E4737" s="39"/>
      <c r="F4737" s="40"/>
    </row>
    <row r="4738" spans="2:6">
      <c r="B4738" s="8"/>
      <c r="C4738" s="8"/>
      <c r="D4738" s="8"/>
      <c r="E4738" s="39"/>
      <c r="F4738" s="40"/>
    </row>
    <row r="4739" spans="2:6">
      <c r="B4739" s="8"/>
      <c r="C4739" s="8"/>
      <c r="D4739" s="8"/>
      <c r="E4739" s="39"/>
      <c r="F4739" s="40"/>
    </row>
    <row r="4740" spans="2:6">
      <c r="B4740" s="8"/>
      <c r="C4740" s="8"/>
      <c r="D4740" s="8"/>
      <c r="E4740" s="39"/>
      <c r="F4740" s="40"/>
    </row>
    <row r="4741" spans="2:6">
      <c r="B4741" s="8"/>
      <c r="C4741" s="8"/>
      <c r="D4741" s="8"/>
      <c r="E4741" s="39"/>
      <c r="F4741" s="40"/>
    </row>
    <row r="4742" spans="2:6">
      <c r="B4742" s="8"/>
      <c r="C4742" s="8"/>
      <c r="D4742" s="8"/>
      <c r="E4742" s="39"/>
      <c r="F4742" s="40"/>
    </row>
    <row r="4743" spans="2:6">
      <c r="B4743" s="8"/>
      <c r="C4743" s="8"/>
      <c r="D4743" s="8"/>
      <c r="E4743" s="39"/>
      <c r="F4743" s="40"/>
    </row>
    <row r="4744" spans="2:6">
      <c r="B4744" s="8"/>
      <c r="C4744" s="8"/>
      <c r="D4744" s="8"/>
      <c r="E4744" s="39"/>
      <c r="F4744" s="40"/>
    </row>
    <row r="4745" spans="2:6">
      <c r="B4745" s="8"/>
      <c r="C4745" s="8"/>
      <c r="D4745" s="8"/>
      <c r="E4745" s="39"/>
      <c r="F4745" s="40"/>
    </row>
    <row r="4746" spans="2:6">
      <c r="B4746" s="8"/>
      <c r="C4746" s="8"/>
      <c r="D4746" s="8"/>
      <c r="E4746" s="39"/>
      <c r="F4746" s="40"/>
    </row>
    <row r="4747" spans="2:6">
      <c r="B4747" s="8"/>
      <c r="C4747" s="8"/>
      <c r="D4747" s="8"/>
      <c r="E4747" s="39"/>
      <c r="F4747" s="40"/>
    </row>
    <row r="4748" spans="2:6">
      <c r="B4748" s="8"/>
      <c r="C4748" s="8"/>
      <c r="D4748" s="8"/>
      <c r="E4748" s="39"/>
      <c r="F4748" s="40"/>
    </row>
    <row r="4749" spans="2:6">
      <c r="B4749" s="8"/>
      <c r="C4749" s="8"/>
      <c r="D4749" s="8"/>
      <c r="E4749" s="39"/>
      <c r="F4749" s="40"/>
    </row>
    <row r="4750" spans="2:6">
      <c r="B4750" s="8"/>
      <c r="C4750" s="8"/>
      <c r="D4750" s="8"/>
      <c r="E4750" s="39"/>
      <c r="F4750" s="40"/>
    </row>
    <row r="4751" spans="2:6">
      <c r="B4751" s="8"/>
      <c r="C4751" s="8"/>
      <c r="D4751" s="8"/>
      <c r="E4751" s="39"/>
      <c r="F4751" s="40"/>
    </row>
    <row r="4752" spans="2:6">
      <c r="B4752" s="8"/>
      <c r="C4752" s="8"/>
      <c r="D4752" s="8"/>
      <c r="E4752" s="39"/>
      <c r="F4752" s="40"/>
    </row>
    <row r="4753" spans="2:6">
      <c r="B4753" s="8"/>
      <c r="C4753" s="8"/>
      <c r="D4753" s="8"/>
      <c r="E4753" s="39"/>
      <c r="F4753" s="40"/>
    </row>
    <row r="4754" spans="2:6">
      <c r="B4754" s="8"/>
      <c r="C4754" s="8"/>
      <c r="D4754" s="8"/>
      <c r="E4754" s="39"/>
      <c r="F4754" s="40"/>
    </row>
    <row r="4755" spans="2:6">
      <c r="B4755" s="8"/>
      <c r="C4755" s="8"/>
      <c r="D4755" s="8"/>
      <c r="E4755" s="39"/>
      <c r="F4755" s="40"/>
    </row>
    <row r="4756" spans="2:6">
      <c r="B4756" s="8"/>
      <c r="C4756" s="8"/>
      <c r="D4756" s="8"/>
      <c r="E4756" s="39"/>
      <c r="F4756" s="40"/>
    </row>
    <row r="4757" spans="2:6">
      <c r="B4757" s="8"/>
      <c r="C4757" s="8"/>
      <c r="D4757" s="8"/>
      <c r="E4757" s="39"/>
      <c r="F4757" s="40"/>
    </row>
    <row r="4758" spans="2:6">
      <c r="B4758" s="8"/>
      <c r="C4758" s="8"/>
      <c r="D4758" s="8"/>
      <c r="E4758" s="39"/>
      <c r="F4758" s="40"/>
    </row>
    <row r="4759" spans="2:6">
      <c r="B4759" s="8"/>
      <c r="C4759" s="8"/>
      <c r="D4759" s="8"/>
      <c r="E4759" s="39"/>
      <c r="F4759" s="40"/>
    </row>
    <row r="4760" spans="2:6">
      <c r="B4760" s="8"/>
      <c r="C4760" s="8"/>
      <c r="D4760" s="8"/>
      <c r="E4760" s="39"/>
      <c r="F4760" s="40"/>
    </row>
    <row r="4761" spans="2:6">
      <c r="B4761" s="8"/>
      <c r="C4761" s="8"/>
      <c r="D4761" s="8"/>
      <c r="E4761" s="39"/>
      <c r="F4761" s="40"/>
    </row>
    <row r="4762" spans="2:6">
      <c r="B4762" s="8"/>
      <c r="C4762" s="8"/>
      <c r="D4762" s="8"/>
      <c r="E4762" s="39"/>
      <c r="F4762" s="40"/>
    </row>
    <row r="4763" spans="2:6">
      <c r="B4763" s="8"/>
      <c r="C4763" s="8"/>
      <c r="D4763" s="8"/>
      <c r="E4763" s="39"/>
      <c r="F4763" s="40"/>
    </row>
    <row r="4764" spans="2:6">
      <c r="B4764" s="8"/>
      <c r="C4764" s="8"/>
      <c r="D4764" s="8"/>
      <c r="E4764" s="39"/>
      <c r="F4764" s="40"/>
    </row>
    <row r="4765" spans="2:6">
      <c r="B4765" s="8"/>
      <c r="C4765" s="8"/>
      <c r="D4765" s="8"/>
      <c r="E4765" s="39"/>
      <c r="F4765" s="40"/>
    </row>
    <row r="4766" spans="2:6">
      <c r="B4766" s="8"/>
      <c r="C4766" s="8"/>
      <c r="D4766" s="8"/>
      <c r="E4766" s="39"/>
      <c r="F4766" s="40"/>
    </row>
    <row r="4767" spans="2:6">
      <c r="B4767" s="8"/>
      <c r="C4767" s="8"/>
      <c r="D4767" s="8"/>
      <c r="E4767" s="39"/>
      <c r="F4767" s="40"/>
    </row>
    <row r="4768" spans="2:6">
      <c r="B4768" s="8"/>
      <c r="C4768" s="8"/>
      <c r="D4768" s="8"/>
      <c r="E4768" s="39"/>
      <c r="F4768" s="40"/>
    </row>
    <row r="4769" spans="2:6">
      <c r="B4769" s="8"/>
      <c r="C4769" s="8"/>
      <c r="D4769" s="8"/>
      <c r="E4769" s="39"/>
      <c r="F4769" s="40"/>
    </row>
    <row r="4770" spans="2:6">
      <c r="B4770" s="8"/>
      <c r="C4770" s="8"/>
      <c r="D4770" s="8"/>
      <c r="E4770" s="39"/>
      <c r="F4770" s="40"/>
    </row>
    <row r="4771" spans="2:6">
      <c r="B4771" s="8"/>
      <c r="C4771" s="8"/>
      <c r="D4771" s="8"/>
      <c r="E4771" s="39"/>
      <c r="F4771" s="40"/>
    </row>
    <row r="4772" spans="2:6">
      <c r="B4772" s="8"/>
      <c r="C4772" s="8"/>
      <c r="D4772" s="8"/>
      <c r="E4772" s="39"/>
      <c r="F4772" s="40"/>
    </row>
    <row r="4773" spans="2:6">
      <c r="B4773" s="8"/>
      <c r="C4773" s="8"/>
      <c r="D4773" s="8"/>
      <c r="E4773" s="39"/>
      <c r="F4773" s="40"/>
    </row>
    <row r="4774" spans="2:6">
      <c r="B4774" s="8"/>
      <c r="C4774" s="8"/>
      <c r="D4774" s="8"/>
      <c r="E4774" s="39"/>
      <c r="F4774" s="40"/>
    </row>
    <row r="4775" spans="2:6">
      <c r="B4775" s="8"/>
      <c r="C4775" s="8"/>
      <c r="D4775" s="8"/>
      <c r="E4775" s="39"/>
      <c r="F4775" s="40"/>
    </row>
    <row r="4776" spans="2:6">
      <c r="B4776" s="8"/>
      <c r="C4776" s="8"/>
      <c r="D4776" s="8"/>
      <c r="E4776" s="39"/>
      <c r="F4776" s="40"/>
    </row>
    <row r="4777" spans="2:6">
      <c r="B4777" s="8"/>
      <c r="C4777" s="8"/>
      <c r="D4777" s="8"/>
      <c r="E4777" s="39"/>
      <c r="F4777" s="40"/>
    </row>
    <row r="4778" spans="2:6">
      <c r="B4778" s="8"/>
      <c r="C4778" s="8"/>
      <c r="D4778" s="8"/>
      <c r="E4778" s="39"/>
      <c r="F4778" s="40"/>
    </row>
    <row r="4779" spans="2:6">
      <c r="B4779" s="8"/>
      <c r="C4779" s="8"/>
      <c r="D4779" s="8"/>
      <c r="E4779" s="39"/>
      <c r="F4779" s="40"/>
    </row>
    <row r="4780" spans="2:6">
      <c r="B4780" s="8"/>
      <c r="C4780" s="8"/>
      <c r="D4780" s="8"/>
      <c r="E4780" s="39"/>
      <c r="F4780" s="40"/>
    </row>
    <row r="4781" spans="2:6">
      <c r="B4781" s="8"/>
      <c r="C4781" s="8"/>
      <c r="D4781" s="8"/>
      <c r="E4781" s="39"/>
      <c r="F4781" s="40"/>
    </row>
    <row r="4782" spans="2:6">
      <c r="B4782" s="8"/>
      <c r="C4782" s="8"/>
      <c r="D4782" s="8"/>
      <c r="E4782" s="39"/>
      <c r="F4782" s="40"/>
    </row>
    <row r="4783" spans="2:6">
      <c r="B4783" s="8"/>
      <c r="C4783" s="8"/>
      <c r="D4783" s="8"/>
      <c r="E4783" s="39"/>
      <c r="F4783" s="40"/>
    </row>
    <row r="4784" spans="2:6">
      <c r="B4784" s="8"/>
      <c r="C4784" s="8"/>
      <c r="D4784" s="8"/>
      <c r="E4784" s="39"/>
      <c r="F4784" s="40"/>
    </row>
    <row r="4785" spans="2:6">
      <c r="B4785" s="8"/>
      <c r="C4785" s="8"/>
      <c r="D4785" s="8"/>
      <c r="E4785" s="39"/>
      <c r="F4785" s="40"/>
    </row>
    <row r="4786" spans="2:6">
      <c r="B4786" s="8"/>
      <c r="C4786" s="8"/>
      <c r="D4786" s="8"/>
      <c r="E4786" s="39"/>
      <c r="F4786" s="40"/>
    </row>
    <row r="4787" spans="2:6">
      <c r="B4787" s="8"/>
      <c r="C4787" s="8"/>
      <c r="D4787" s="8"/>
      <c r="E4787" s="39"/>
      <c r="F4787" s="40"/>
    </row>
    <row r="4788" spans="2:6">
      <c r="B4788" s="8"/>
      <c r="C4788" s="8"/>
      <c r="D4788" s="8"/>
      <c r="E4788" s="39"/>
      <c r="F4788" s="40"/>
    </row>
    <row r="4789" spans="2:6">
      <c r="B4789" s="8"/>
      <c r="C4789" s="8"/>
      <c r="D4789" s="8"/>
      <c r="E4789" s="39"/>
      <c r="F4789" s="40"/>
    </row>
    <row r="4790" spans="2:6">
      <c r="B4790" s="8"/>
      <c r="C4790" s="8"/>
      <c r="D4790" s="8"/>
      <c r="E4790" s="39"/>
      <c r="F4790" s="40"/>
    </row>
    <row r="4791" spans="2:6">
      <c r="B4791" s="8"/>
      <c r="C4791" s="8"/>
      <c r="D4791" s="8"/>
      <c r="E4791" s="39"/>
      <c r="F4791" s="40"/>
    </row>
    <row r="4792" spans="2:6">
      <c r="B4792" s="8"/>
      <c r="C4792" s="8"/>
      <c r="D4792" s="8"/>
      <c r="E4792" s="39"/>
      <c r="F4792" s="40"/>
    </row>
    <row r="4793" spans="2:6">
      <c r="B4793" s="8"/>
      <c r="C4793" s="8"/>
      <c r="D4793" s="8"/>
      <c r="E4793" s="39"/>
      <c r="F4793" s="40"/>
    </row>
    <row r="4794" spans="2:6">
      <c r="B4794" s="8"/>
      <c r="C4794" s="8"/>
      <c r="D4794" s="8"/>
      <c r="E4794" s="39"/>
      <c r="F4794" s="40"/>
    </row>
    <row r="4795" spans="2:6">
      <c r="B4795" s="8"/>
      <c r="C4795" s="8"/>
      <c r="D4795" s="8"/>
      <c r="E4795" s="39"/>
      <c r="F4795" s="40"/>
    </row>
    <row r="4796" spans="2:6">
      <c r="B4796" s="8"/>
      <c r="C4796" s="8"/>
      <c r="D4796" s="8"/>
      <c r="E4796" s="39"/>
      <c r="F4796" s="40"/>
    </row>
    <row r="4797" spans="2:6">
      <c r="B4797" s="8"/>
      <c r="C4797" s="8"/>
      <c r="D4797" s="8"/>
      <c r="E4797" s="39"/>
      <c r="F4797" s="40"/>
    </row>
    <row r="4798" spans="2:6">
      <c r="B4798" s="8"/>
      <c r="C4798" s="8"/>
      <c r="D4798" s="8"/>
      <c r="E4798" s="39"/>
      <c r="F4798" s="40"/>
    </row>
    <row r="4799" spans="2:6">
      <c r="B4799" s="8"/>
      <c r="C4799" s="8"/>
      <c r="D4799" s="8"/>
      <c r="E4799" s="39"/>
      <c r="F4799" s="40"/>
    </row>
    <row r="4800" spans="2:6">
      <c r="B4800" s="8"/>
      <c r="C4800" s="8"/>
      <c r="D4800" s="8"/>
      <c r="E4800" s="39"/>
      <c r="F4800" s="40"/>
    </row>
    <row r="4801" spans="2:6">
      <c r="B4801" s="8"/>
      <c r="C4801" s="8"/>
      <c r="D4801" s="8"/>
      <c r="E4801" s="39"/>
      <c r="F4801" s="40"/>
    </row>
    <row r="4802" spans="2:6">
      <c r="B4802" s="8"/>
      <c r="C4802" s="8"/>
      <c r="D4802" s="8"/>
      <c r="E4802" s="39"/>
      <c r="F4802" s="40"/>
    </row>
    <row r="4803" spans="2:6">
      <c r="B4803" s="8"/>
      <c r="C4803" s="8"/>
      <c r="D4803" s="8"/>
      <c r="E4803" s="39"/>
      <c r="F4803" s="40"/>
    </row>
    <row r="4804" spans="2:6">
      <c r="B4804" s="8"/>
      <c r="C4804" s="8"/>
      <c r="D4804" s="8"/>
      <c r="E4804" s="39"/>
      <c r="F4804" s="40"/>
    </row>
    <row r="4805" spans="2:6">
      <c r="B4805" s="8"/>
      <c r="C4805" s="8"/>
      <c r="D4805" s="8"/>
      <c r="E4805" s="39"/>
      <c r="F4805" s="40"/>
    </row>
    <row r="4806" spans="2:6">
      <c r="B4806" s="8"/>
      <c r="C4806" s="8"/>
      <c r="D4806" s="8"/>
      <c r="E4806" s="39"/>
      <c r="F4806" s="40"/>
    </row>
    <row r="4807" spans="2:6">
      <c r="B4807" s="8"/>
      <c r="C4807" s="8"/>
      <c r="D4807" s="8"/>
      <c r="E4807" s="39"/>
      <c r="F4807" s="40"/>
    </row>
    <row r="4808" spans="2:6">
      <c r="B4808" s="8"/>
      <c r="C4808" s="8"/>
      <c r="D4808" s="8"/>
      <c r="E4808" s="39"/>
      <c r="F4808" s="40"/>
    </row>
    <row r="4809" spans="2:6">
      <c r="B4809" s="8"/>
      <c r="C4809" s="8"/>
      <c r="D4809" s="8"/>
      <c r="E4809" s="39"/>
      <c r="F4809" s="40"/>
    </row>
    <row r="4810" spans="2:6">
      <c r="B4810" s="8"/>
      <c r="C4810" s="8"/>
      <c r="D4810" s="8"/>
      <c r="E4810" s="39"/>
      <c r="F4810" s="40"/>
    </row>
    <row r="4811" spans="2:6">
      <c r="B4811" s="8"/>
      <c r="C4811" s="8"/>
      <c r="D4811" s="8"/>
      <c r="E4811" s="39"/>
      <c r="F4811" s="40"/>
    </row>
    <row r="4812" spans="2:6">
      <c r="B4812" s="8"/>
      <c r="C4812" s="8"/>
      <c r="D4812" s="8"/>
      <c r="E4812" s="39"/>
      <c r="F4812" s="40"/>
    </row>
    <row r="4813" spans="2:6">
      <c r="B4813" s="8"/>
      <c r="C4813" s="8"/>
      <c r="D4813" s="8"/>
      <c r="E4813" s="39"/>
      <c r="F4813" s="40"/>
    </row>
    <row r="4814" spans="2:6">
      <c r="B4814" s="8"/>
      <c r="C4814" s="8"/>
      <c r="D4814" s="8"/>
      <c r="E4814" s="39"/>
      <c r="F4814" s="40"/>
    </row>
    <row r="4815" spans="2:6">
      <c r="B4815" s="8"/>
      <c r="C4815" s="8"/>
      <c r="D4815" s="8"/>
      <c r="E4815" s="39"/>
      <c r="F4815" s="40"/>
    </row>
    <row r="4816" spans="2:6">
      <c r="B4816" s="8"/>
      <c r="C4816" s="8"/>
      <c r="D4816" s="8"/>
      <c r="E4816" s="39"/>
      <c r="F4816" s="40"/>
    </row>
    <row r="4817" spans="2:6">
      <c r="B4817" s="8"/>
      <c r="C4817" s="8"/>
      <c r="D4817" s="8"/>
      <c r="E4817" s="39"/>
      <c r="F4817" s="40"/>
    </row>
    <row r="4818" spans="2:6">
      <c r="B4818" s="8"/>
      <c r="C4818" s="8"/>
      <c r="D4818" s="8"/>
      <c r="E4818" s="39"/>
      <c r="F4818" s="40"/>
    </row>
    <row r="4819" spans="2:6">
      <c r="B4819" s="8"/>
      <c r="C4819" s="8"/>
      <c r="D4819" s="8"/>
      <c r="E4819" s="39"/>
      <c r="F4819" s="40"/>
    </row>
    <row r="4820" spans="2:6">
      <c r="B4820" s="8"/>
      <c r="C4820" s="8"/>
      <c r="D4820" s="8"/>
      <c r="E4820" s="39"/>
      <c r="F4820" s="40"/>
    </row>
    <row r="4821" spans="2:6">
      <c r="B4821" s="8"/>
      <c r="C4821" s="8"/>
      <c r="D4821" s="8"/>
      <c r="E4821" s="39"/>
      <c r="F4821" s="40"/>
    </row>
    <row r="4822" spans="2:6">
      <c r="B4822" s="8"/>
      <c r="C4822" s="8"/>
      <c r="D4822" s="8"/>
      <c r="E4822" s="39"/>
      <c r="F4822" s="40"/>
    </row>
    <row r="4823" spans="2:6">
      <c r="B4823" s="8"/>
      <c r="C4823" s="8"/>
      <c r="D4823" s="8"/>
      <c r="E4823" s="39"/>
      <c r="F4823" s="40"/>
    </row>
    <row r="4824" spans="2:6">
      <c r="B4824" s="8"/>
      <c r="C4824" s="8"/>
      <c r="D4824" s="8"/>
      <c r="E4824" s="39"/>
      <c r="F4824" s="40"/>
    </row>
    <row r="4825" spans="2:6">
      <c r="B4825" s="8"/>
      <c r="C4825" s="8"/>
      <c r="D4825" s="8"/>
      <c r="E4825" s="39"/>
      <c r="F4825" s="40"/>
    </row>
    <row r="4826" spans="2:6">
      <c r="B4826" s="8"/>
      <c r="C4826" s="8"/>
      <c r="D4826" s="8"/>
      <c r="E4826" s="39"/>
      <c r="F4826" s="40"/>
    </row>
    <row r="4827" spans="2:6">
      <c r="B4827" s="8"/>
      <c r="C4827" s="8"/>
      <c r="D4827" s="8"/>
      <c r="E4827" s="39"/>
      <c r="F4827" s="40"/>
    </row>
    <row r="4828" spans="2:6">
      <c r="B4828" s="8"/>
      <c r="C4828" s="8"/>
      <c r="D4828" s="8"/>
      <c r="E4828" s="39"/>
      <c r="F4828" s="40"/>
    </row>
    <row r="4829" spans="2:6">
      <c r="B4829" s="8"/>
      <c r="C4829" s="8"/>
      <c r="D4829" s="8"/>
      <c r="E4829" s="39"/>
      <c r="F4829" s="40"/>
    </row>
    <row r="4830" spans="2:6">
      <c r="B4830" s="8"/>
      <c r="C4830" s="8"/>
      <c r="D4830" s="8"/>
      <c r="E4830" s="39"/>
      <c r="F4830" s="40"/>
    </row>
    <row r="4831" spans="2:6">
      <c r="B4831" s="8"/>
      <c r="C4831" s="8"/>
      <c r="D4831" s="8"/>
      <c r="E4831" s="39"/>
      <c r="F4831" s="40"/>
    </row>
    <row r="4832" spans="2:6">
      <c r="B4832" s="8"/>
      <c r="C4832" s="8"/>
      <c r="D4832" s="8"/>
      <c r="E4832" s="39"/>
      <c r="F4832" s="40"/>
    </row>
    <row r="4833" spans="2:6">
      <c r="B4833" s="8"/>
      <c r="C4833" s="8"/>
      <c r="D4833" s="8"/>
      <c r="E4833" s="39"/>
      <c r="F4833" s="40"/>
    </row>
    <row r="4834" spans="2:6">
      <c r="B4834" s="8"/>
      <c r="C4834" s="8"/>
      <c r="D4834" s="8"/>
      <c r="E4834" s="39"/>
      <c r="F4834" s="40"/>
    </row>
    <row r="4835" spans="2:6">
      <c r="B4835" s="8"/>
      <c r="C4835" s="8"/>
      <c r="D4835" s="8"/>
      <c r="E4835" s="39"/>
      <c r="F4835" s="40"/>
    </row>
    <row r="4836" spans="2:6">
      <c r="B4836" s="8"/>
      <c r="C4836" s="8"/>
      <c r="D4836" s="8"/>
      <c r="E4836" s="39"/>
      <c r="F4836" s="40"/>
    </row>
    <row r="4837" spans="2:6">
      <c r="B4837" s="8"/>
      <c r="C4837" s="8"/>
      <c r="D4837" s="8"/>
      <c r="E4837" s="39"/>
      <c r="F4837" s="40"/>
    </row>
    <row r="4838" spans="2:6">
      <c r="B4838" s="8"/>
      <c r="C4838" s="8"/>
      <c r="D4838" s="8"/>
      <c r="E4838" s="39"/>
      <c r="F4838" s="40"/>
    </row>
    <row r="4839" spans="2:6">
      <c r="B4839" s="8"/>
      <c r="C4839" s="8"/>
      <c r="D4839" s="8"/>
      <c r="E4839" s="39"/>
      <c r="F4839" s="40"/>
    </row>
    <row r="4840" spans="2:6">
      <c r="B4840" s="8"/>
      <c r="C4840" s="8"/>
      <c r="D4840" s="8"/>
      <c r="E4840" s="39"/>
      <c r="F4840" s="40"/>
    </row>
    <row r="4841" spans="2:6">
      <c r="B4841" s="8"/>
      <c r="C4841" s="8"/>
      <c r="D4841" s="8"/>
      <c r="E4841" s="39"/>
      <c r="F4841" s="40"/>
    </row>
    <row r="4842" spans="2:6">
      <c r="B4842" s="8"/>
      <c r="C4842" s="8"/>
      <c r="D4842" s="8"/>
      <c r="E4842" s="39"/>
      <c r="F4842" s="40"/>
    </row>
    <row r="4843" spans="2:6">
      <c r="B4843" s="8"/>
      <c r="C4843" s="8"/>
      <c r="D4843" s="8"/>
      <c r="E4843" s="39"/>
      <c r="F4843" s="40"/>
    </row>
    <row r="4844" spans="2:6">
      <c r="B4844" s="8"/>
      <c r="C4844" s="8"/>
      <c r="D4844" s="8"/>
      <c r="E4844" s="39"/>
      <c r="F4844" s="40"/>
    </row>
    <row r="4845" spans="2:6">
      <c r="B4845" s="8"/>
      <c r="C4845" s="8"/>
      <c r="D4845" s="8"/>
      <c r="E4845" s="39"/>
      <c r="F4845" s="40"/>
    </row>
    <row r="4846" spans="2:6">
      <c r="B4846" s="8"/>
      <c r="C4846" s="8"/>
      <c r="D4846" s="8"/>
      <c r="E4846" s="39"/>
      <c r="F4846" s="40"/>
    </row>
    <row r="4847" spans="2:6">
      <c r="B4847" s="8"/>
      <c r="C4847" s="8"/>
      <c r="D4847" s="8"/>
      <c r="E4847" s="39"/>
      <c r="F4847" s="40"/>
    </row>
    <row r="4848" spans="2:6">
      <c r="B4848" s="8"/>
      <c r="C4848" s="8"/>
      <c r="D4848" s="8"/>
      <c r="E4848" s="39"/>
      <c r="F4848" s="40"/>
    </row>
    <row r="4849" spans="2:6">
      <c r="B4849" s="8"/>
      <c r="C4849" s="8"/>
      <c r="D4849" s="8"/>
      <c r="E4849" s="39"/>
      <c r="F4849" s="40"/>
    </row>
    <row r="4850" spans="2:6">
      <c r="B4850" s="8"/>
      <c r="C4850" s="8"/>
      <c r="D4850" s="8"/>
      <c r="E4850" s="39"/>
      <c r="F4850" s="40"/>
    </row>
    <row r="4851" spans="2:6">
      <c r="B4851" s="8"/>
      <c r="C4851" s="8"/>
      <c r="D4851" s="8"/>
      <c r="E4851" s="39"/>
      <c r="F4851" s="40"/>
    </row>
    <row r="4852" spans="2:6">
      <c r="B4852" s="8"/>
      <c r="C4852" s="8"/>
      <c r="D4852" s="8"/>
      <c r="E4852" s="39"/>
      <c r="F4852" s="40"/>
    </row>
    <row r="4853" spans="2:6">
      <c r="B4853" s="8"/>
      <c r="C4853" s="8"/>
      <c r="D4853" s="8"/>
      <c r="E4853" s="39"/>
      <c r="F4853" s="40"/>
    </row>
    <row r="4854" spans="2:6">
      <c r="B4854" s="8"/>
      <c r="C4854" s="8"/>
      <c r="D4854" s="8"/>
      <c r="E4854" s="39"/>
      <c r="F4854" s="40"/>
    </row>
    <row r="4855" spans="2:6">
      <c r="B4855" s="8"/>
      <c r="C4855" s="8"/>
      <c r="D4855" s="8"/>
      <c r="E4855" s="39"/>
      <c r="F4855" s="40"/>
    </row>
    <row r="4856" spans="2:6">
      <c r="B4856" s="8"/>
      <c r="C4856" s="8"/>
      <c r="D4856" s="8"/>
      <c r="E4856" s="39"/>
      <c r="F4856" s="40"/>
    </row>
    <row r="4857" spans="2:6">
      <c r="B4857" s="8"/>
      <c r="C4857" s="8"/>
      <c r="D4857" s="8"/>
      <c r="E4857" s="39"/>
      <c r="F4857" s="40"/>
    </row>
    <row r="4858" spans="2:6">
      <c r="B4858" s="8"/>
      <c r="C4858" s="8"/>
      <c r="D4858" s="8"/>
      <c r="E4858" s="39"/>
      <c r="F4858" s="40"/>
    </row>
    <row r="4859" spans="2:6">
      <c r="B4859" s="8"/>
      <c r="C4859" s="8"/>
      <c r="D4859" s="8"/>
      <c r="E4859" s="39"/>
      <c r="F4859" s="40"/>
    </row>
    <row r="4860" spans="2:6">
      <c r="B4860" s="8"/>
      <c r="C4860" s="8"/>
      <c r="D4860" s="8"/>
      <c r="E4860" s="39"/>
      <c r="F4860" s="40"/>
    </row>
    <row r="4861" spans="2:6">
      <c r="B4861" s="8"/>
      <c r="C4861" s="8"/>
      <c r="D4861" s="8"/>
      <c r="E4861" s="39"/>
      <c r="F4861" s="40"/>
    </row>
    <row r="4862" spans="2:6">
      <c r="B4862" s="8"/>
      <c r="C4862" s="8"/>
      <c r="D4862" s="8"/>
      <c r="E4862" s="39"/>
      <c r="F4862" s="40"/>
    </row>
    <row r="4863" spans="2:6">
      <c r="B4863" s="8"/>
      <c r="C4863" s="8"/>
      <c r="D4863" s="8"/>
      <c r="E4863" s="39"/>
      <c r="F4863" s="40"/>
    </row>
    <row r="4864" spans="2:6">
      <c r="B4864" s="8"/>
      <c r="C4864" s="8"/>
      <c r="D4864" s="8"/>
      <c r="E4864" s="39"/>
      <c r="F4864" s="40"/>
    </row>
    <row r="4865" spans="2:6">
      <c r="B4865" s="8"/>
      <c r="C4865" s="8"/>
      <c r="D4865" s="8"/>
      <c r="E4865" s="39"/>
      <c r="F4865" s="40"/>
    </row>
    <row r="4866" spans="2:6">
      <c r="B4866" s="8"/>
      <c r="C4866" s="8"/>
      <c r="D4866" s="8"/>
      <c r="E4866" s="39"/>
      <c r="F4866" s="40"/>
    </row>
    <row r="4867" spans="2:6">
      <c r="B4867" s="8"/>
      <c r="C4867" s="8"/>
      <c r="D4867" s="8"/>
      <c r="E4867" s="39"/>
      <c r="F4867" s="40"/>
    </row>
    <row r="4868" spans="2:6">
      <c r="B4868" s="8"/>
      <c r="C4868" s="8"/>
      <c r="D4868" s="8"/>
      <c r="E4868" s="39"/>
      <c r="F4868" s="40"/>
    </row>
    <row r="4869" spans="2:6">
      <c r="B4869" s="8"/>
      <c r="C4869" s="8"/>
      <c r="D4869" s="8"/>
      <c r="E4869" s="39"/>
      <c r="F4869" s="40"/>
    </row>
    <row r="4870" spans="2:6">
      <c r="B4870" s="8"/>
      <c r="C4870" s="8"/>
      <c r="D4870" s="8"/>
      <c r="E4870" s="39"/>
      <c r="F4870" s="40"/>
    </row>
    <row r="4871" spans="2:6">
      <c r="B4871" s="8"/>
      <c r="C4871" s="8"/>
      <c r="D4871" s="8"/>
      <c r="E4871" s="39"/>
      <c r="F4871" s="40"/>
    </row>
    <row r="4872" spans="2:6">
      <c r="B4872" s="8"/>
      <c r="C4872" s="8"/>
      <c r="D4872" s="8"/>
      <c r="E4872" s="39"/>
      <c r="F4872" s="40"/>
    </row>
    <row r="4873" spans="2:6">
      <c r="B4873" s="8"/>
      <c r="C4873" s="8"/>
      <c r="D4873" s="8"/>
      <c r="E4873" s="39"/>
      <c r="F4873" s="40"/>
    </row>
    <row r="4874" spans="2:6">
      <c r="B4874" s="8"/>
      <c r="C4874" s="8"/>
      <c r="D4874" s="8"/>
      <c r="E4874" s="39"/>
      <c r="F4874" s="40"/>
    </row>
    <row r="4875" spans="2:6">
      <c r="B4875" s="8"/>
      <c r="C4875" s="8"/>
      <c r="D4875" s="8"/>
      <c r="E4875" s="39"/>
      <c r="F4875" s="40"/>
    </row>
    <row r="4876" spans="2:6">
      <c r="B4876" s="8"/>
      <c r="C4876" s="8"/>
      <c r="D4876" s="8"/>
      <c r="E4876" s="39"/>
      <c r="F4876" s="40"/>
    </row>
    <row r="4877" spans="2:6">
      <c r="B4877" s="8"/>
      <c r="C4877" s="8"/>
      <c r="D4877" s="8"/>
      <c r="E4877" s="39"/>
      <c r="F4877" s="40"/>
    </row>
    <row r="4878" spans="2:6">
      <c r="B4878" s="8"/>
      <c r="C4878" s="8"/>
      <c r="D4878" s="8"/>
      <c r="E4878" s="39"/>
      <c r="F4878" s="40"/>
    </row>
    <row r="4879" spans="2:6">
      <c r="B4879" s="8"/>
      <c r="C4879" s="8"/>
      <c r="D4879" s="8"/>
      <c r="E4879" s="39"/>
      <c r="F4879" s="40"/>
    </row>
    <row r="4880" spans="2:6">
      <c r="B4880" s="8"/>
      <c r="C4880" s="8"/>
      <c r="D4880" s="8"/>
      <c r="E4880" s="39"/>
      <c r="F4880" s="40"/>
    </row>
    <row r="4881" spans="2:6">
      <c r="B4881" s="8"/>
      <c r="C4881" s="8"/>
      <c r="D4881" s="8"/>
      <c r="E4881" s="39"/>
      <c r="F4881" s="40"/>
    </row>
    <row r="4882" spans="2:6">
      <c r="B4882" s="8"/>
      <c r="C4882" s="8"/>
      <c r="D4882" s="8"/>
      <c r="E4882" s="39"/>
      <c r="F4882" s="40"/>
    </row>
    <row r="4883" spans="2:6">
      <c r="B4883" s="8"/>
      <c r="C4883" s="8"/>
      <c r="D4883" s="8"/>
      <c r="E4883" s="39"/>
      <c r="F4883" s="40"/>
    </row>
    <row r="4884" spans="2:6">
      <c r="B4884" s="8"/>
      <c r="C4884" s="8"/>
      <c r="D4884" s="8"/>
      <c r="E4884" s="39"/>
      <c r="F4884" s="40"/>
    </row>
    <row r="4885" spans="2:6">
      <c r="B4885" s="8"/>
      <c r="C4885" s="8"/>
      <c r="D4885" s="8"/>
      <c r="E4885" s="39"/>
      <c r="F4885" s="40"/>
    </row>
    <row r="4886" spans="2:6">
      <c r="B4886" s="8"/>
      <c r="C4886" s="8"/>
      <c r="D4886" s="8"/>
      <c r="E4886" s="39"/>
      <c r="F4886" s="40"/>
    </row>
    <row r="4887" spans="2:6">
      <c r="B4887" s="8"/>
      <c r="C4887" s="8"/>
      <c r="D4887" s="8"/>
      <c r="E4887" s="39"/>
      <c r="F4887" s="40"/>
    </row>
    <row r="4888" spans="2:6">
      <c r="B4888" s="8"/>
      <c r="C4888" s="8"/>
      <c r="D4888" s="8"/>
      <c r="E4888" s="39"/>
      <c r="F4888" s="40"/>
    </row>
    <row r="4889" spans="2:6">
      <c r="B4889" s="8"/>
      <c r="C4889" s="8"/>
      <c r="D4889" s="8"/>
      <c r="E4889" s="39"/>
      <c r="F4889" s="40"/>
    </row>
    <row r="4890" spans="2:6">
      <c r="B4890" s="8"/>
      <c r="C4890" s="8"/>
      <c r="D4890" s="8"/>
      <c r="E4890" s="39"/>
      <c r="F4890" s="40"/>
    </row>
    <row r="4891" spans="2:6">
      <c r="B4891" s="8"/>
      <c r="C4891" s="8"/>
      <c r="D4891" s="8"/>
      <c r="E4891" s="39"/>
      <c r="F4891" s="40"/>
    </row>
    <row r="4892" spans="2:6">
      <c r="B4892" s="8"/>
      <c r="C4892" s="8"/>
      <c r="D4892" s="8"/>
      <c r="E4892" s="39"/>
      <c r="F4892" s="40"/>
    </row>
    <row r="4893" spans="2:6">
      <c r="B4893" s="8"/>
      <c r="C4893" s="8"/>
      <c r="D4893" s="8"/>
      <c r="E4893" s="39"/>
      <c r="F4893" s="40"/>
    </row>
    <row r="4894" spans="2:6">
      <c r="B4894" s="8"/>
      <c r="C4894" s="8"/>
      <c r="D4894" s="8"/>
      <c r="E4894" s="39"/>
      <c r="F4894" s="40"/>
    </row>
    <row r="4895" spans="2:6">
      <c r="B4895" s="8"/>
      <c r="C4895" s="8"/>
      <c r="D4895" s="8"/>
      <c r="E4895" s="39"/>
      <c r="F4895" s="40"/>
    </row>
    <row r="4896" spans="2:6">
      <c r="B4896" s="8"/>
      <c r="C4896" s="8"/>
      <c r="D4896" s="8"/>
      <c r="E4896" s="39"/>
      <c r="F4896" s="40"/>
    </row>
    <row r="4897" spans="2:6">
      <c r="B4897" s="8"/>
      <c r="C4897" s="8"/>
      <c r="D4897" s="8"/>
      <c r="E4897" s="39"/>
      <c r="F4897" s="40"/>
    </row>
    <row r="4898" spans="2:6">
      <c r="B4898" s="8"/>
      <c r="C4898" s="8"/>
      <c r="D4898" s="8"/>
      <c r="E4898" s="39"/>
      <c r="F4898" s="40"/>
    </row>
    <row r="4899" spans="2:6">
      <c r="B4899" s="8"/>
      <c r="C4899" s="8"/>
      <c r="D4899" s="8"/>
      <c r="E4899" s="39"/>
      <c r="F4899" s="40"/>
    </row>
    <row r="4900" spans="2:6">
      <c r="B4900" s="8"/>
      <c r="C4900" s="8"/>
      <c r="D4900" s="8"/>
      <c r="E4900" s="39"/>
      <c r="F4900" s="40"/>
    </row>
    <row r="4901" spans="2:6">
      <c r="B4901" s="8"/>
      <c r="C4901" s="8"/>
      <c r="D4901" s="8"/>
      <c r="E4901" s="39"/>
      <c r="F4901" s="40"/>
    </row>
    <row r="4902" spans="2:6">
      <c r="B4902" s="8"/>
      <c r="C4902" s="8"/>
      <c r="D4902" s="8"/>
      <c r="E4902" s="39"/>
      <c r="F4902" s="40"/>
    </row>
    <row r="4903" spans="2:6">
      <c r="B4903" s="8"/>
      <c r="C4903" s="8"/>
      <c r="D4903" s="8"/>
      <c r="E4903" s="39"/>
      <c r="F4903" s="40"/>
    </row>
    <row r="4904" spans="2:6">
      <c r="B4904" s="8"/>
      <c r="C4904" s="8"/>
      <c r="D4904" s="8"/>
      <c r="E4904" s="39"/>
      <c r="F4904" s="40"/>
    </row>
    <row r="4905" spans="2:6">
      <c r="B4905" s="8"/>
      <c r="C4905" s="8"/>
      <c r="D4905" s="8"/>
      <c r="E4905" s="39"/>
      <c r="F4905" s="40"/>
    </row>
    <row r="4906" spans="2:6">
      <c r="B4906" s="8"/>
      <c r="C4906" s="8"/>
      <c r="D4906" s="8"/>
      <c r="E4906" s="39"/>
      <c r="F4906" s="40"/>
    </row>
    <row r="4907" spans="2:6">
      <c r="B4907" s="8"/>
      <c r="C4907" s="8"/>
      <c r="D4907" s="8"/>
      <c r="E4907" s="39"/>
      <c r="F4907" s="40"/>
    </row>
    <row r="4908" spans="2:6">
      <c r="B4908" s="8"/>
      <c r="C4908" s="8"/>
      <c r="D4908" s="8"/>
      <c r="E4908" s="39"/>
      <c r="F4908" s="40"/>
    </row>
    <row r="4909" spans="2:6">
      <c r="B4909" s="8"/>
      <c r="C4909" s="8"/>
      <c r="D4909" s="8"/>
      <c r="E4909" s="39"/>
      <c r="F4909" s="40"/>
    </row>
    <row r="4910" spans="2:6">
      <c r="B4910" s="8"/>
      <c r="C4910" s="8"/>
      <c r="D4910" s="8"/>
      <c r="E4910" s="39"/>
      <c r="F4910" s="40"/>
    </row>
    <row r="4911" spans="2:6">
      <c r="B4911" s="8"/>
      <c r="C4911" s="8"/>
      <c r="D4911" s="8"/>
      <c r="E4911" s="39"/>
      <c r="F4911" s="40"/>
    </row>
    <row r="4912" spans="2:6">
      <c r="B4912" s="8"/>
      <c r="C4912" s="8"/>
      <c r="D4912" s="8"/>
      <c r="E4912" s="39"/>
      <c r="F4912" s="40"/>
    </row>
    <row r="4913" spans="2:6">
      <c r="B4913" s="8"/>
      <c r="C4913" s="8"/>
      <c r="D4913" s="8"/>
      <c r="E4913" s="39"/>
      <c r="F4913" s="40"/>
    </row>
    <row r="4914" spans="2:6">
      <c r="B4914" s="8"/>
      <c r="C4914" s="8"/>
      <c r="D4914" s="8"/>
      <c r="E4914" s="39"/>
      <c r="F4914" s="40"/>
    </row>
    <row r="4915" spans="2:6">
      <c r="B4915" s="8"/>
      <c r="C4915" s="8"/>
      <c r="D4915" s="8"/>
      <c r="E4915" s="39"/>
      <c r="F4915" s="40"/>
    </row>
    <row r="4916" spans="2:6">
      <c r="B4916" s="8"/>
      <c r="C4916" s="8"/>
      <c r="D4916" s="8"/>
      <c r="E4916" s="39"/>
      <c r="F4916" s="40"/>
    </row>
    <row r="4917" spans="2:6">
      <c r="B4917" s="8"/>
      <c r="C4917" s="8"/>
      <c r="D4917" s="8"/>
      <c r="E4917" s="39"/>
      <c r="F4917" s="40"/>
    </row>
    <row r="4918" spans="2:6">
      <c r="B4918" s="8"/>
      <c r="C4918" s="8"/>
      <c r="D4918" s="8"/>
      <c r="E4918" s="39"/>
      <c r="F4918" s="40"/>
    </row>
    <row r="4919" spans="2:6">
      <c r="B4919" s="8"/>
      <c r="C4919" s="8"/>
      <c r="D4919" s="8"/>
      <c r="E4919" s="39"/>
      <c r="F4919" s="40"/>
    </row>
    <row r="4920" spans="2:6">
      <c r="B4920" s="8"/>
      <c r="C4920" s="8"/>
      <c r="D4920" s="8"/>
      <c r="E4920" s="39"/>
      <c r="F4920" s="40"/>
    </row>
    <row r="4921" spans="2:6">
      <c r="B4921" s="8"/>
      <c r="C4921" s="8"/>
      <c r="D4921" s="8"/>
      <c r="E4921" s="39"/>
      <c r="F4921" s="40"/>
    </row>
    <row r="4922" spans="2:6">
      <c r="B4922" s="8"/>
      <c r="C4922" s="8"/>
      <c r="D4922" s="8"/>
      <c r="E4922" s="39"/>
      <c r="F4922" s="40"/>
    </row>
    <row r="4923" spans="2:6">
      <c r="B4923" s="8"/>
      <c r="C4923" s="8"/>
      <c r="D4923" s="8"/>
      <c r="E4923" s="39"/>
      <c r="F4923" s="40"/>
    </row>
    <row r="4924" spans="2:6">
      <c r="B4924" s="8"/>
      <c r="C4924" s="8"/>
      <c r="D4924" s="8"/>
      <c r="E4924" s="39"/>
      <c r="F4924" s="40"/>
    </row>
    <row r="4925" spans="2:6">
      <c r="B4925" s="8"/>
      <c r="C4925" s="8"/>
      <c r="D4925" s="8"/>
      <c r="E4925" s="39"/>
      <c r="F4925" s="40"/>
    </row>
    <row r="4926" spans="2:6">
      <c r="B4926" s="8"/>
      <c r="C4926" s="8"/>
      <c r="D4926" s="8"/>
      <c r="E4926" s="39"/>
      <c r="F4926" s="40"/>
    </row>
    <row r="4927" spans="2:6">
      <c r="B4927" s="8"/>
      <c r="C4927" s="8"/>
      <c r="D4927" s="8"/>
      <c r="E4927" s="39"/>
      <c r="F4927" s="40"/>
    </row>
    <row r="4928" spans="2:6">
      <c r="B4928" s="8"/>
      <c r="C4928" s="8"/>
      <c r="D4928" s="8"/>
      <c r="E4928" s="39"/>
      <c r="F4928" s="40"/>
    </row>
    <row r="4929" spans="2:6">
      <c r="B4929" s="8"/>
      <c r="C4929" s="8"/>
      <c r="D4929" s="8"/>
      <c r="E4929" s="39"/>
      <c r="F4929" s="40"/>
    </row>
    <row r="4930" spans="2:6">
      <c r="B4930" s="8"/>
      <c r="C4930" s="8"/>
      <c r="D4930" s="8"/>
      <c r="E4930" s="39"/>
      <c r="F4930" s="40"/>
    </row>
    <row r="4931" spans="2:6">
      <c r="B4931" s="8"/>
      <c r="C4931" s="8"/>
      <c r="D4931" s="8"/>
      <c r="E4931" s="39"/>
      <c r="F4931" s="40"/>
    </row>
    <row r="4932" spans="2:6">
      <c r="B4932" s="8"/>
      <c r="C4932" s="8"/>
      <c r="D4932" s="8"/>
      <c r="E4932" s="39"/>
      <c r="F4932" s="40"/>
    </row>
    <row r="4933" spans="2:6">
      <c r="B4933" s="8"/>
      <c r="C4933" s="8"/>
      <c r="D4933" s="8"/>
      <c r="E4933" s="39"/>
      <c r="F4933" s="40"/>
    </row>
    <row r="4934" spans="2:6">
      <c r="B4934" s="8"/>
      <c r="C4934" s="8"/>
      <c r="D4934" s="8"/>
      <c r="E4934" s="39"/>
      <c r="F4934" s="40"/>
    </row>
    <row r="4935" spans="2:6">
      <c r="B4935" s="8"/>
      <c r="C4935" s="8"/>
      <c r="D4935" s="8"/>
      <c r="E4935" s="39"/>
      <c r="F4935" s="40"/>
    </row>
    <row r="4936" spans="2:6">
      <c r="B4936" s="8"/>
      <c r="C4936" s="8"/>
      <c r="D4936" s="8"/>
      <c r="E4936" s="39"/>
      <c r="F4936" s="40"/>
    </row>
    <row r="4937" spans="2:6">
      <c r="B4937" s="8"/>
      <c r="C4937" s="8"/>
      <c r="D4937" s="8"/>
      <c r="E4937" s="39"/>
      <c r="F4937" s="40"/>
    </row>
    <row r="4938" spans="2:6">
      <c r="B4938" s="8"/>
      <c r="C4938" s="8"/>
      <c r="D4938" s="8"/>
      <c r="E4938" s="39"/>
      <c r="F4938" s="40"/>
    </row>
    <row r="4939" spans="2:6">
      <c r="B4939" s="8"/>
      <c r="C4939" s="8"/>
      <c r="D4939" s="8"/>
      <c r="E4939" s="39"/>
      <c r="F4939" s="40"/>
    </row>
    <row r="4940" spans="2:6">
      <c r="B4940" s="8"/>
      <c r="C4940" s="8"/>
      <c r="D4940" s="8"/>
      <c r="E4940" s="39"/>
      <c r="F4940" s="40"/>
    </row>
    <row r="4941" spans="2:6">
      <c r="B4941" s="8"/>
      <c r="C4941" s="8"/>
      <c r="D4941" s="8"/>
      <c r="E4941" s="39"/>
      <c r="F4941" s="40"/>
    </row>
    <row r="4942" spans="2:6">
      <c r="B4942" s="8"/>
      <c r="C4942" s="8"/>
      <c r="D4942" s="8"/>
      <c r="E4942" s="39"/>
      <c r="F4942" s="40"/>
    </row>
    <row r="4943" spans="2:6">
      <c r="B4943" s="8"/>
      <c r="C4943" s="8"/>
      <c r="D4943" s="8"/>
      <c r="E4943" s="39"/>
      <c r="F4943" s="40"/>
    </row>
    <row r="4944" spans="2:6">
      <c r="B4944" s="8"/>
      <c r="C4944" s="8"/>
      <c r="D4944" s="8"/>
      <c r="E4944" s="39"/>
      <c r="F4944" s="40"/>
    </row>
    <row r="4945" spans="2:6">
      <c r="B4945" s="8"/>
      <c r="C4945" s="8"/>
      <c r="D4945" s="8"/>
      <c r="E4945" s="39"/>
      <c r="F4945" s="40"/>
    </row>
    <row r="4946" spans="2:6">
      <c r="B4946" s="8"/>
      <c r="C4946" s="8"/>
      <c r="D4946" s="8"/>
      <c r="E4946" s="39"/>
      <c r="F4946" s="40"/>
    </row>
    <row r="4947" spans="2:6">
      <c r="B4947" s="8"/>
      <c r="C4947" s="8"/>
      <c r="D4947" s="8"/>
      <c r="E4947" s="39"/>
      <c r="F4947" s="40"/>
    </row>
    <row r="4948" spans="2:6">
      <c r="B4948" s="8"/>
      <c r="C4948" s="8"/>
      <c r="D4948" s="8"/>
      <c r="E4948" s="39"/>
      <c r="F4948" s="40"/>
    </row>
    <row r="4949" spans="2:6">
      <c r="B4949" s="8"/>
      <c r="C4949" s="8"/>
      <c r="D4949" s="8"/>
      <c r="E4949" s="39"/>
      <c r="F4949" s="40"/>
    </row>
    <row r="4950" spans="2:6">
      <c r="B4950" s="8"/>
      <c r="C4950" s="8"/>
      <c r="D4950" s="8"/>
      <c r="E4950" s="39"/>
      <c r="F4950" s="40"/>
    </row>
    <row r="4951" spans="2:6">
      <c r="B4951" s="8"/>
      <c r="C4951" s="8"/>
      <c r="D4951" s="8"/>
      <c r="E4951" s="39"/>
      <c r="F4951" s="40"/>
    </row>
    <row r="4952" spans="2:6">
      <c r="B4952" s="8"/>
      <c r="C4952" s="8"/>
      <c r="D4952" s="8"/>
      <c r="E4952" s="39"/>
      <c r="F4952" s="40"/>
    </row>
    <row r="4953" spans="2:6">
      <c r="B4953" s="8"/>
      <c r="C4953" s="8"/>
      <c r="D4953" s="8"/>
      <c r="E4953" s="39"/>
      <c r="F4953" s="40"/>
    </row>
    <row r="4954" spans="2:6">
      <c r="B4954" s="8"/>
      <c r="C4954" s="8"/>
      <c r="D4954" s="8"/>
      <c r="E4954" s="39"/>
      <c r="F4954" s="40"/>
    </row>
    <row r="4955" spans="2:6">
      <c r="B4955" s="8"/>
      <c r="C4955" s="8"/>
      <c r="D4955" s="8"/>
      <c r="E4955" s="39"/>
      <c r="F4955" s="40"/>
    </row>
    <row r="4956" spans="2:6">
      <c r="B4956" s="8"/>
      <c r="C4956" s="8"/>
      <c r="D4956" s="8"/>
      <c r="E4956" s="39"/>
      <c r="F4956" s="40"/>
    </row>
    <row r="4957" spans="2:6">
      <c r="B4957" s="8"/>
      <c r="C4957" s="8"/>
      <c r="D4957" s="8"/>
      <c r="E4957" s="39"/>
      <c r="F4957" s="40"/>
    </row>
    <row r="4958" spans="2:6">
      <c r="B4958" s="8"/>
      <c r="C4958" s="8"/>
      <c r="D4958" s="8"/>
      <c r="E4958" s="39"/>
      <c r="F4958" s="40"/>
    </row>
    <row r="4959" spans="2:6">
      <c r="B4959" s="8"/>
      <c r="C4959" s="8"/>
      <c r="D4959" s="8"/>
      <c r="E4959" s="39"/>
      <c r="F4959" s="40"/>
    </row>
    <row r="4960" spans="2:6">
      <c r="B4960" s="8"/>
      <c r="C4960" s="8"/>
      <c r="D4960" s="8"/>
      <c r="E4960" s="39"/>
      <c r="F4960" s="40"/>
    </row>
    <row r="4961" spans="2:6">
      <c r="B4961" s="8"/>
      <c r="C4961" s="8"/>
      <c r="D4961" s="8"/>
      <c r="E4961" s="39"/>
      <c r="F4961" s="40"/>
    </row>
    <row r="4962" spans="2:6">
      <c r="B4962" s="8"/>
      <c r="C4962" s="8"/>
      <c r="D4962" s="8"/>
      <c r="E4962" s="39"/>
      <c r="F4962" s="40"/>
    </row>
    <row r="4963" spans="2:6">
      <c r="B4963" s="8"/>
      <c r="C4963" s="8"/>
      <c r="D4963" s="8"/>
      <c r="E4963" s="39"/>
      <c r="F4963" s="40"/>
    </row>
    <row r="4964" spans="2:6">
      <c r="B4964" s="8"/>
      <c r="C4964" s="8"/>
      <c r="D4964" s="8"/>
      <c r="E4964" s="39"/>
      <c r="F4964" s="40"/>
    </row>
    <row r="4965" spans="2:6">
      <c r="B4965" s="8"/>
      <c r="C4965" s="8"/>
      <c r="D4965" s="8"/>
      <c r="E4965" s="39"/>
      <c r="F4965" s="40"/>
    </row>
    <row r="4966" spans="2:6">
      <c r="B4966" s="8"/>
      <c r="C4966" s="8"/>
      <c r="D4966" s="8"/>
      <c r="E4966" s="39"/>
      <c r="F4966" s="40"/>
    </row>
    <row r="4967" spans="2:6">
      <c r="B4967" s="8"/>
      <c r="C4967" s="8"/>
      <c r="D4967" s="8"/>
      <c r="E4967" s="39"/>
      <c r="F4967" s="40"/>
    </row>
    <row r="4968" spans="2:6">
      <c r="B4968" s="8"/>
      <c r="C4968" s="8"/>
      <c r="D4968" s="8"/>
      <c r="E4968" s="39"/>
      <c r="F4968" s="40"/>
    </row>
    <row r="4969" spans="2:6">
      <c r="B4969" s="8"/>
      <c r="C4969" s="8"/>
      <c r="D4969" s="8"/>
      <c r="E4969" s="39"/>
      <c r="F4969" s="40"/>
    </row>
    <row r="4970" spans="2:6">
      <c r="B4970" s="8"/>
      <c r="C4970" s="8"/>
      <c r="D4970" s="8"/>
      <c r="E4970" s="39"/>
      <c r="F4970" s="40"/>
    </row>
    <row r="4971" spans="2:6">
      <c r="B4971" s="8"/>
      <c r="C4971" s="8"/>
      <c r="D4971" s="8"/>
      <c r="E4971" s="39"/>
      <c r="F4971" s="40"/>
    </row>
    <row r="4972" spans="2:6">
      <c r="B4972" s="8"/>
      <c r="C4972" s="8"/>
      <c r="D4972" s="8"/>
      <c r="E4972" s="39"/>
      <c r="F4972" s="40"/>
    </row>
    <row r="4973" spans="2:6">
      <c r="B4973" s="8"/>
      <c r="C4973" s="8"/>
      <c r="D4973" s="8"/>
      <c r="E4973" s="39"/>
      <c r="F4973" s="40"/>
    </row>
    <row r="4974" spans="2:6">
      <c r="B4974" s="8"/>
      <c r="C4974" s="8"/>
      <c r="D4974" s="8"/>
      <c r="E4974" s="39"/>
      <c r="F4974" s="40"/>
    </row>
    <row r="4975" spans="2:6">
      <c r="B4975" s="8"/>
      <c r="C4975" s="8"/>
      <c r="D4975" s="8"/>
      <c r="E4975" s="39"/>
      <c r="F4975" s="40"/>
    </row>
    <row r="4976" spans="2:6">
      <c r="B4976" s="8"/>
      <c r="C4976" s="8"/>
      <c r="D4976" s="8"/>
      <c r="E4976" s="39"/>
      <c r="F4976" s="40"/>
    </row>
    <row r="4977" spans="2:6">
      <c r="B4977" s="8"/>
      <c r="C4977" s="8"/>
      <c r="D4977" s="8"/>
      <c r="E4977" s="39"/>
      <c r="F4977" s="40"/>
    </row>
    <row r="4978" spans="2:6">
      <c r="B4978" s="8"/>
      <c r="C4978" s="8"/>
      <c r="D4978" s="8"/>
      <c r="E4978" s="39"/>
      <c r="F4978" s="40"/>
    </row>
    <row r="4979" spans="2:6">
      <c r="B4979" s="8"/>
      <c r="C4979" s="8"/>
      <c r="D4979" s="8"/>
      <c r="E4979" s="39"/>
      <c r="F4979" s="40"/>
    </row>
    <row r="4980" spans="2:6">
      <c r="B4980" s="8"/>
      <c r="C4980" s="8"/>
      <c r="D4980" s="8"/>
      <c r="E4980" s="39"/>
      <c r="F4980" s="40"/>
    </row>
    <row r="4981" spans="2:6">
      <c r="B4981" s="8"/>
      <c r="C4981" s="8"/>
      <c r="D4981" s="8"/>
      <c r="E4981" s="39"/>
      <c r="F4981" s="40"/>
    </row>
    <row r="4982" spans="2:6">
      <c r="B4982" s="8"/>
      <c r="C4982" s="8"/>
      <c r="D4982" s="8"/>
      <c r="E4982" s="39"/>
      <c r="F4982" s="40"/>
    </row>
    <row r="4983" spans="2:6">
      <c r="B4983" s="8"/>
      <c r="C4983" s="8"/>
      <c r="D4983" s="8"/>
      <c r="E4983" s="39"/>
      <c r="F4983" s="40"/>
    </row>
    <row r="4984" spans="2:6">
      <c r="B4984" s="8"/>
      <c r="C4984" s="8"/>
      <c r="D4984" s="8"/>
      <c r="E4984" s="39"/>
      <c r="F4984" s="40"/>
    </row>
    <row r="4985" spans="2:6">
      <c r="B4985" s="8"/>
      <c r="C4985" s="8"/>
      <c r="D4985" s="8"/>
      <c r="E4985" s="39"/>
      <c r="F4985" s="40"/>
    </row>
    <row r="4986" spans="2:6">
      <c r="B4986" s="8"/>
      <c r="C4986" s="8"/>
      <c r="D4986" s="8"/>
      <c r="E4986" s="39"/>
      <c r="F4986" s="40"/>
    </row>
    <row r="4987" spans="2:6">
      <c r="B4987" s="8"/>
      <c r="C4987" s="8"/>
      <c r="D4987" s="8"/>
      <c r="E4987" s="39"/>
      <c r="F4987" s="40"/>
    </row>
    <row r="4988" spans="2:6">
      <c r="B4988" s="8"/>
      <c r="C4988" s="8"/>
      <c r="D4988" s="8"/>
      <c r="E4988" s="39"/>
      <c r="F4988" s="40"/>
    </row>
    <row r="4989" spans="2:6">
      <c r="B4989" s="8"/>
      <c r="C4989" s="8"/>
      <c r="D4989" s="8"/>
      <c r="E4989" s="39"/>
      <c r="F4989" s="40"/>
    </row>
    <row r="4990" spans="2:6">
      <c r="B4990" s="8"/>
      <c r="C4990" s="8"/>
      <c r="D4990" s="8"/>
      <c r="E4990" s="39"/>
      <c r="F4990" s="40"/>
    </row>
    <row r="4991" spans="2:6">
      <c r="B4991" s="8"/>
      <c r="C4991" s="8"/>
      <c r="D4991" s="8"/>
      <c r="E4991" s="39"/>
      <c r="F4991" s="40"/>
    </row>
    <row r="4992" spans="2:6">
      <c r="B4992" s="8"/>
      <c r="C4992" s="8"/>
      <c r="D4992" s="8"/>
      <c r="E4992" s="39"/>
      <c r="F4992" s="40"/>
    </row>
    <row r="4993" spans="2:6">
      <c r="B4993" s="8"/>
      <c r="C4993" s="8"/>
      <c r="D4993" s="8"/>
      <c r="E4993" s="39"/>
      <c r="F4993" s="40"/>
    </row>
    <row r="4994" spans="2:6">
      <c r="B4994" s="8"/>
      <c r="C4994" s="8"/>
      <c r="D4994" s="8"/>
      <c r="E4994" s="39"/>
      <c r="F4994" s="40"/>
    </row>
    <row r="4995" spans="2:6">
      <c r="B4995" s="8"/>
      <c r="C4995" s="8"/>
      <c r="D4995" s="8"/>
      <c r="E4995" s="39"/>
      <c r="F4995" s="40"/>
    </row>
    <row r="4996" spans="2:6">
      <c r="B4996" s="8"/>
      <c r="C4996" s="8"/>
      <c r="D4996" s="8"/>
      <c r="E4996" s="39"/>
      <c r="F4996" s="40"/>
    </row>
    <row r="4997" spans="2:6">
      <c r="B4997" s="8"/>
      <c r="C4997" s="8"/>
      <c r="D4997" s="8"/>
      <c r="E4997" s="39"/>
      <c r="F4997" s="40"/>
    </row>
    <row r="4998" spans="2:6">
      <c r="B4998" s="8"/>
      <c r="C4998" s="8"/>
      <c r="D4998" s="8"/>
      <c r="E4998" s="39"/>
      <c r="F4998" s="40"/>
    </row>
    <row r="4999" spans="2:6">
      <c r="B4999" s="8"/>
      <c r="C4999" s="8"/>
      <c r="D4999" s="8"/>
      <c r="E4999" s="39"/>
      <c r="F4999" s="40"/>
    </row>
    <row r="5000" spans="2:6">
      <c r="B5000" s="8"/>
      <c r="C5000" s="8"/>
      <c r="D5000" s="8"/>
      <c r="E5000" s="39"/>
      <c r="F5000" s="40"/>
    </row>
    <row r="5001" spans="2:6">
      <c r="B5001" s="8"/>
      <c r="C5001" s="8"/>
      <c r="D5001" s="8"/>
      <c r="E5001" s="39"/>
      <c r="F5001" s="40"/>
    </row>
    <row r="5002" spans="2:6">
      <c r="B5002" s="8"/>
      <c r="C5002" s="8"/>
      <c r="D5002" s="8"/>
      <c r="E5002" s="39"/>
      <c r="F5002" s="40"/>
    </row>
    <row r="5003" spans="2:6">
      <c r="B5003" s="8"/>
      <c r="C5003" s="8"/>
      <c r="D5003" s="8"/>
      <c r="E5003" s="39"/>
      <c r="F5003" s="40"/>
    </row>
    <row r="5004" spans="2:6">
      <c r="B5004" s="8"/>
      <c r="C5004" s="8"/>
      <c r="D5004" s="8"/>
      <c r="E5004" s="39"/>
      <c r="F5004" s="40"/>
    </row>
    <row r="5005" spans="2:6">
      <c r="B5005" s="8"/>
      <c r="C5005" s="8"/>
      <c r="D5005" s="8"/>
      <c r="E5005" s="39"/>
      <c r="F5005" s="40"/>
    </row>
    <row r="5006" spans="2:6">
      <c r="B5006" s="8"/>
      <c r="C5006" s="8"/>
      <c r="D5006" s="8"/>
      <c r="E5006" s="39"/>
      <c r="F5006" s="40"/>
    </row>
    <row r="5007" spans="2:6">
      <c r="B5007" s="8"/>
      <c r="C5007" s="8"/>
      <c r="D5007" s="8"/>
      <c r="E5007" s="39"/>
      <c r="F5007" s="40"/>
    </row>
    <row r="5008" spans="2:6">
      <c r="B5008" s="8"/>
      <c r="C5008" s="8"/>
      <c r="D5008" s="8"/>
      <c r="E5008" s="39"/>
      <c r="F5008" s="40"/>
    </row>
    <row r="5009" spans="2:6">
      <c r="B5009" s="8"/>
      <c r="C5009" s="8"/>
      <c r="D5009" s="8"/>
      <c r="E5009" s="39"/>
      <c r="F5009" s="40"/>
    </row>
    <row r="5010" spans="2:6">
      <c r="B5010" s="8"/>
      <c r="C5010" s="8"/>
      <c r="D5010" s="8"/>
      <c r="E5010" s="39"/>
      <c r="F5010" s="40"/>
    </row>
    <row r="5011" spans="2:6">
      <c r="B5011" s="8"/>
      <c r="C5011" s="8"/>
      <c r="D5011" s="8"/>
      <c r="E5011" s="39"/>
      <c r="F5011" s="40"/>
    </row>
    <row r="5012" spans="2:6">
      <c r="B5012" s="8"/>
      <c r="C5012" s="8"/>
      <c r="D5012" s="8"/>
      <c r="E5012" s="39"/>
      <c r="F5012" s="40"/>
    </row>
    <row r="5013" spans="2:6">
      <c r="B5013" s="8"/>
      <c r="C5013" s="8"/>
      <c r="D5013" s="8"/>
      <c r="E5013" s="39"/>
      <c r="F5013" s="40"/>
    </row>
    <row r="5014" spans="2:6">
      <c r="B5014" s="8"/>
      <c r="C5014" s="8"/>
      <c r="D5014" s="8"/>
      <c r="E5014" s="39"/>
      <c r="F5014" s="40"/>
    </row>
    <row r="5015" spans="2:6">
      <c r="B5015" s="8"/>
      <c r="C5015" s="8"/>
      <c r="D5015" s="8"/>
      <c r="E5015" s="39"/>
      <c r="F5015" s="40"/>
    </row>
    <row r="5016" spans="2:6">
      <c r="B5016" s="8"/>
      <c r="C5016" s="8"/>
      <c r="D5016" s="8"/>
      <c r="E5016" s="39"/>
      <c r="F5016" s="40"/>
    </row>
    <row r="5017" spans="2:6">
      <c r="B5017" s="8"/>
      <c r="C5017" s="8"/>
      <c r="D5017" s="8"/>
      <c r="E5017" s="39"/>
      <c r="F5017" s="40"/>
    </row>
    <row r="5018" spans="2:6">
      <c r="B5018" s="8"/>
      <c r="C5018" s="8"/>
      <c r="D5018" s="8"/>
      <c r="E5018" s="39"/>
      <c r="F5018" s="40"/>
    </row>
    <row r="5019" spans="2:6">
      <c r="B5019" s="8"/>
      <c r="C5019" s="8"/>
      <c r="D5019" s="8"/>
      <c r="E5019" s="39"/>
      <c r="F5019" s="40"/>
    </row>
    <row r="5020" spans="2:6">
      <c r="B5020" s="8"/>
      <c r="C5020" s="8"/>
      <c r="D5020" s="8"/>
      <c r="E5020" s="39"/>
      <c r="F5020" s="40"/>
    </row>
    <row r="5021" spans="2:6">
      <c r="B5021" s="8"/>
      <c r="C5021" s="8"/>
      <c r="D5021" s="8"/>
      <c r="E5021" s="39"/>
      <c r="F5021" s="40"/>
    </row>
    <row r="5022" spans="2:6">
      <c r="B5022" s="8"/>
      <c r="C5022" s="8"/>
      <c r="D5022" s="8"/>
      <c r="E5022" s="39"/>
      <c r="F5022" s="40"/>
    </row>
    <row r="5023" spans="2:6">
      <c r="B5023" s="8"/>
      <c r="C5023" s="8"/>
      <c r="D5023" s="8"/>
      <c r="E5023" s="39"/>
      <c r="F5023" s="40"/>
    </row>
    <row r="5024" spans="2:6">
      <c r="B5024" s="8"/>
      <c r="C5024" s="8"/>
      <c r="D5024" s="8"/>
      <c r="E5024" s="39"/>
      <c r="F5024" s="40"/>
    </row>
    <row r="5025" spans="2:6">
      <c r="B5025" s="8"/>
      <c r="C5025" s="8"/>
      <c r="D5025" s="8"/>
      <c r="E5025" s="39"/>
      <c r="F5025" s="40"/>
    </row>
    <row r="5026" spans="2:6">
      <c r="B5026" s="8"/>
      <c r="C5026" s="8"/>
      <c r="D5026" s="8"/>
      <c r="E5026" s="39"/>
      <c r="F5026" s="40"/>
    </row>
    <row r="5027" spans="2:6">
      <c r="B5027" s="8"/>
      <c r="C5027" s="8"/>
      <c r="D5027" s="8"/>
      <c r="E5027" s="39"/>
      <c r="F5027" s="40"/>
    </row>
    <row r="5028" spans="2:6">
      <c r="B5028" s="8"/>
      <c r="C5028" s="8"/>
      <c r="D5028" s="8"/>
      <c r="E5028" s="39"/>
      <c r="F5028" s="40"/>
    </row>
    <row r="5029" spans="2:6">
      <c r="B5029" s="8"/>
      <c r="C5029" s="8"/>
      <c r="D5029" s="8"/>
      <c r="E5029" s="39"/>
      <c r="F5029" s="40"/>
    </row>
    <row r="5030" spans="2:6">
      <c r="B5030" s="8"/>
      <c r="C5030" s="8"/>
      <c r="D5030" s="8"/>
      <c r="E5030" s="39"/>
      <c r="F5030" s="40"/>
    </row>
    <row r="5031" spans="2:6">
      <c r="B5031" s="8"/>
      <c r="C5031" s="8"/>
      <c r="D5031" s="8"/>
      <c r="E5031" s="39"/>
      <c r="F5031" s="40"/>
    </row>
    <row r="5032" spans="2:6">
      <c r="B5032" s="8"/>
      <c r="C5032" s="8"/>
      <c r="D5032" s="8"/>
      <c r="E5032" s="39"/>
      <c r="F5032" s="40"/>
    </row>
    <row r="5033" spans="2:6">
      <c r="B5033" s="8"/>
      <c r="C5033" s="8"/>
      <c r="D5033" s="8"/>
      <c r="E5033" s="39"/>
      <c r="F5033" s="40"/>
    </row>
    <row r="5034" spans="2:6">
      <c r="B5034" s="8"/>
      <c r="C5034" s="8"/>
      <c r="D5034" s="8"/>
      <c r="E5034" s="39"/>
      <c r="F5034" s="40"/>
    </row>
    <row r="5035" spans="2:6">
      <c r="B5035" s="8"/>
      <c r="C5035" s="8"/>
      <c r="D5035" s="8"/>
      <c r="E5035" s="39"/>
      <c r="F5035" s="40"/>
    </row>
    <row r="5036" spans="2:6">
      <c r="B5036" s="8"/>
      <c r="C5036" s="8"/>
      <c r="D5036" s="8"/>
      <c r="E5036" s="39"/>
      <c r="F5036" s="40"/>
    </row>
    <row r="5037" spans="2:6">
      <c r="B5037" s="8"/>
      <c r="C5037" s="8"/>
      <c r="D5037" s="8"/>
      <c r="E5037" s="39"/>
      <c r="F5037" s="40"/>
    </row>
    <row r="5038" spans="2:6">
      <c r="B5038" s="8"/>
      <c r="C5038" s="8"/>
      <c r="D5038" s="8"/>
      <c r="E5038" s="39"/>
      <c r="F5038" s="40"/>
    </row>
    <row r="5039" spans="2:6">
      <c r="B5039" s="8"/>
      <c r="C5039" s="8"/>
      <c r="D5039" s="8"/>
      <c r="E5039" s="39"/>
      <c r="F5039" s="40"/>
    </row>
    <row r="5040" spans="2:6">
      <c r="B5040" s="8"/>
      <c r="C5040" s="8"/>
      <c r="D5040" s="8"/>
      <c r="E5040" s="39"/>
      <c r="F5040" s="40"/>
    </row>
    <row r="5041" spans="2:6">
      <c r="B5041" s="8"/>
      <c r="C5041" s="8"/>
      <c r="D5041" s="8"/>
      <c r="E5041" s="39"/>
      <c r="F5041" s="40"/>
    </row>
    <row r="5042" spans="2:6">
      <c r="B5042" s="8"/>
      <c r="C5042" s="8"/>
      <c r="D5042" s="8"/>
      <c r="E5042" s="39"/>
      <c r="F5042" s="40"/>
    </row>
    <row r="5043" spans="2:6">
      <c r="B5043" s="8"/>
      <c r="C5043" s="8"/>
      <c r="D5043" s="8"/>
      <c r="E5043" s="39"/>
      <c r="F5043" s="40"/>
    </row>
    <row r="5044" spans="2:6">
      <c r="B5044" s="8"/>
      <c r="C5044" s="8"/>
      <c r="D5044" s="8"/>
      <c r="E5044" s="39"/>
      <c r="F5044" s="40"/>
    </row>
    <row r="5045" spans="2:6">
      <c r="B5045" s="8"/>
      <c r="C5045" s="8"/>
      <c r="D5045" s="8"/>
      <c r="E5045" s="39"/>
      <c r="F5045" s="40"/>
    </row>
    <row r="5046" spans="2:6">
      <c r="B5046" s="8"/>
      <c r="C5046" s="8"/>
      <c r="D5046" s="8"/>
      <c r="E5046" s="39"/>
      <c r="F5046" s="40"/>
    </row>
    <row r="5047" spans="2:6">
      <c r="B5047" s="8"/>
      <c r="C5047" s="8"/>
      <c r="D5047" s="8"/>
      <c r="E5047" s="39"/>
      <c r="F5047" s="40"/>
    </row>
    <row r="5048" spans="2:6">
      <c r="B5048" s="8"/>
      <c r="C5048" s="8"/>
      <c r="D5048" s="8"/>
      <c r="E5048" s="39"/>
      <c r="F5048" s="40"/>
    </row>
    <row r="5049" spans="2:6">
      <c r="B5049" s="8"/>
      <c r="C5049" s="8"/>
      <c r="D5049" s="8"/>
      <c r="E5049" s="39"/>
      <c r="F5049" s="40"/>
    </row>
    <row r="5050" spans="2:6">
      <c r="B5050" s="8"/>
      <c r="C5050" s="8"/>
      <c r="D5050" s="8"/>
      <c r="E5050" s="39"/>
      <c r="F5050" s="40"/>
    </row>
    <row r="5051" spans="2:6">
      <c r="B5051" s="8"/>
      <c r="C5051" s="8"/>
      <c r="D5051" s="8"/>
      <c r="E5051" s="39"/>
      <c r="F5051" s="40"/>
    </row>
    <row r="5052" spans="2:6">
      <c r="B5052" s="8"/>
      <c r="C5052" s="8"/>
      <c r="D5052" s="8"/>
      <c r="E5052" s="39"/>
      <c r="F5052" s="40"/>
    </row>
    <row r="5053" spans="2:6">
      <c r="B5053" s="8"/>
      <c r="C5053" s="8"/>
      <c r="D5053" s="8"/>
      <c r="E5053" s="39"/>
      <c r="F5053" s="40"/>
    </row>
    <row r="5054" spans="2:6">
      <c r="B5054" s="8"/>
      <c r="C5054" s="8"/>
      <c r="D5054" s="8"/>
      <c r="E5054" s="39"/>
      <c r="F5054" s="40"/>
    </row>
    <row r="5055" spans="2:6">
      <c r="B5055" s="8"/>
      <c r="C5055" s="8"/>
      <c r="D5055" s="8"/>
      <c r="E5055" s="39"/>
      <c r="F5055" s="40"/>
    </row>
    <row r="5056" spans="2:6">
      <c r="B5056" s="8"/>
      <c r="C5056" s="8"/>
      <c r="D5056" s="8"/>
      <c r="E5056" s="39"/>
      <c r="F5056" s="40"/>
    </row>
    <row r="5057" spans="2:6">
      <c r="B5057" s="8"/>
      <c r="C5057" s="8"/>
      <c r="D5057" s="8"/>
      <c r="E5057" s="39"/>
      <c r="F5057" s="40"/>
    </row>
    <row r="5058" spans="2:6">
      <c r="B5058" s="8"/>
      <c r="C5058" s="8"/>
      <c r="D5058" s="8"/>
      <c r="E5058" s="39"/>
      <c r="F5058" s="40"/>
    </row>
    <row r="5059" spans="2:6">
      <c r="B5059" s="8"/>
      <c r="C5059" s="8"/>
      <c r="D5059" s="8"/>
      <c r="E5059" s="39"/>
      <c r="F5059" s="40"/>
    </row>
    <row r="5060" spans="2:6">
      <c r="B5060" s="8"/>
      <c r="C5060" s="8"/>
      <c r="D5060" s="8"/>
      <c r="E5060" s="39"/>
      <c r="F5060" s="40"/>
    </row>
    <row r="5061" spans="2:6">
      <c r="B5061" s="8"/>
      <c r="C5061" s="8"/>
      <c r="D5061" s="8"/>
      <c r="E5061" s="39"/>
      <c r="F5061" s="40"/>
    </row>
    <row r="5062" spans="2:6">
      <c r="B5062" s="8"/>
      <c r="C5062" s="8"/>
      <c r="D5062" s="8"/>
      <c r="E5062" s="39"/>
      <c r="F5062" s="40"/>
    </row>
    <row r="5063" spans="2:6">
      <c r="B5063" s="8"/>
      <c r="C5063" s="8"/>
      <c r="D5063" s="8"/>
      <c r="E5063" s="39"/>
      <c r="F5063" s="40"/>
    </row>
    <row r="5064" spans="2:6">
      <c r="B5064" s="8"/>
      <c r="C5064" s="8"/>
      <c r="D5064" s="8"/>
      <c r="E5064" s="39"/>
      <c r="F5064" s="40"/>
    </row>
    <row r="5065" spans="2:6">
      <c r="B5065" s="8"/>
      <c r="C5065" s="8"/>
      <c r="D5065" s="8"/>
      <c r="E5065" s="39"/>
      <c r="F5065" s="40"/>
    </row>
    <row r="5066" spans="2:6">
      <c r="B5066" s="8"/>
      <c r="C5066" s="8"/>
      <c r="D5066" s="8"/>
      <c r="E5066" s="39"/>
      <c r="F5066" s="40"/>
    </row>
    <row r="5067" spans="2:6">
      <c r="B5067" s="8"/>
      <c r="C5067" s="8"/>
      <c r="D5067" s="8"/>
      <c r="E5067" s="39"/>
      <c r="F5067" s="40"/>
    </row>
    <row r="5068" spans="2:6">
      <c r="B5068" s="8"/>
      <c r="C5068" s="8"/>
      <c r="D5068" s="8"/>
      <c r="E5068" s="39"/>
      <c r="F5068" s="40"/>
    </row>
    <row r="5069" spans="2:6">
      <c r="B5069" s="8"/>
      <c r="C5069" s="8"/>
      <c r="D5069" s="8"/>
      <c r="E5069" s="39"/>
      <c r="F5069" s="40"/>
    </row>
    <row r="5070" spans="2:6">
      <c r="B5070" s="8"/>
      <c r="C5070" s="8"/>
      <c r="D5070" s="8"/>
      <c r="E5070" s="39"/>
      <c r="F5070" s="40"/>
    </row>
    <row r="5071" spans="2:6">
      <c r="B5071" s="8"/>
      <c r="C5071" s="8"/>
      <c r="D5071" s="8"/>
      <c r="E5071" s="39"/>
      <c r="F5071" s="40"/>
    </row>
    <row r="5072" spans="2:6">
      <c r="B5072" s="8"/>
      <c r="C5072" s="8"/>
      <c r="D5072" s="8"/>
      <c r="E5072" s="39"/>
      <c r="F5072" s="40"/>
    </row>
    <row r="5073" spans="2:6">
      <c r="B5073" s="8"/>
      <c r="C5073" s="8"/>
      <c r="D5073" s="8"/>
      <c r="E5073" s="39"/>
      <c r="F5073" s="40"/>
    </row>
    <row r="5074" spans="2:6">
      <c r="B5074" s="8"/>
      <c r="C5074" s="8"/>
      <c r="D5074" s="8"/>
      <c r="E5074" s="39"/>
      <c r="F5074" s="40"/>
    </row>
    <row r="5075" spans="2:6">
      <c r="B5075" s="8"/>
      <c r="C5075" s="8"/>
      <c r="D5075" s="8"/>
      <c r="E5075" s="39"/>
      <c r="F5075" s="40"/>
    </row>
    <row r="5076" spans="2:6">
      <c r="B5076" s="8"/>
      <c r="C5076" s="8"/>
      <c r="D5076" s="8"/>
      <c r="E5076" s="39"/>
      <c r="F5076" s="40"/>
    </row>
    <row r="5077" spans="2:6">
      <c r="B5077" s="8"/>
      <c r="C5077" s="8"/>
      <c r="D5077" s="8"/>
      <c r="E5077" s="39"/>
      <c r="F5077" s="40"/>
    </row>
    <row r="5078" spans="2:6">
      <c r="B5078" s="8"/>
      <c r="C5078" s="8"/>
      <c r="D5078" s="8"/>
      <c r="E5078" s="39"/>
      <c r="F5078" s="40"/>
    </row>
    <row r="5079" spans="2:6">
      <c r="B5079" s="8"/>
      <c r="C5079" s="8"/>
      <c r="D5079" s="8"/>
      <c r="E5079" s="39"/>
      <c r="F5079" s="40"/>
    </row>
    <row r="5080" spans="2:6">
      <c r="B5080" s="8"/>
      <c r="C5080" s="8"/>
      <c r="D5080" s="8"/>
      <c r="E5080" s="39"/>
      <c r="F5080" s="40"/>
    </row>
    <row r="5081" spans="2:6">
      <c r="B5081" s="8"/>
      <c r="C5081" s="8"/>
      <c r="D5081" s="8"/>
      <c r="E5081" s="39"/>
      <c r="F5081" s="40"/>
    </row>
    <row r="5082" spans="2:6">
      <c r="B5082" s="8"/>
      <c r="C5082" s="8"/>
      <c r="D5082" s="8"/>
      <c r="E5082" s="39"/>
      <c r="F5082" s="40"/>
    </row>
    <row r="5083" spans="2:6">
      <c r="B5083" s="8"/>
      <c r="C5083" s="8"/>
      <c r="D5083" s="8"/>
      <c r="E5083" s="39"/>
      <c r="F5083" s="40"/>
    </row>
    <row r="5084" spans="2:6">
      <c r="B5084" s="8"/>
      <c r="C5084" s="8"/>
      <c r="D5084" s="8"/>
      <c r="E5084" s="39"/>
      <c r="F5084" s="40"/>
    </row>
    <row r="5085" spans="2:6">
      <c r="B5085" s="8"/>
      <c r="C5085" s="8"/>
      <c r="D5085" s="8"/>
      <c r="E5085" s="39"/>
      <c r="F5085" s="40"/>
    </row>
    <row r="5086" spans="2:6">
      <c r="B5086" s="8"/>
      <c r="C5086" s="8"/>
      <c r="D5086" s="8"/>
      <c r="E5086" s="39"/>
      <c r="F5086" s="40"/>
    </row>
    <row r="5087" spans="2:6">
      <c r="B5087" s="8"/>
      <c r="C5087" s="8"/>
      <c r="D5087" s="8"/>
      <c r="E5087" s="39"/>
      <c r="F5087" s="40"/>
    </row>
    <row r="5088" spans="2:6">
      <c r="B5088" s="8"/>
      <c r="C5088" s="8"/>
      <c r="D5088" s="8"/>
      <c r="E5088" s="39"/>
      <c r="F5088" s="40"/>
    </row>
    <row r="5089" spans="2:6">
      <c r="B5089" s="8"/>
      <c r="C5089" s="8"/>
      <c r="D5089" s="8"/>
      <c r="E5089" s="39"/>
      <c r="F5089" s="40"/>
    </row>
    <row r="5090" spans="2:6">
      <c r="B5090" s="8"/>
      <c r="C5090" s="8"/>
      <c r="D5090" s="8"/>
      <c r="E5090" s="39"/>
      <c r="F5090" s="40"/>
    </row>
    <row r="5091" spans="2:6">
      <c r="B5091" s="8"/>
      <c r="C5091" s="8"/>
      <c r="D5091" s="8"/>
      <c r="E5091" s="39"/>
      <c r="F5091" s="40"/>
    </row>
    <row r="5092" spans="2:6">
      <c r="B5092" s="8"/>
      <c r="C5092" s="8"/>
      <c r="D5092" s="8"/>
      <c r="E5092" s="39"/>
      <c r="F5092" s="40"/>
    </row>
    <row r="5093" spans="2:6">
      <c r="B5093" s="8"/>
      <c r="C5093" s="8"/>
      <c r="D5093" s="8"/>
      <c r="E5093" s="39"/>
      <c r="F5093" s="40"/>
    </row>
    <row r="5094" spans="2:6">
      <c r="B5094" s="8"/>
      <c r="C5094" s="8"/>
      <c r="D5094" s="8"/>
      <c r="E5094" s="39"/>
      <c r="F5094" s="40"/>
    </row>
    <row r="5095" spans="2:6">
      <c r="B5095" s="8"/>
      <c r="C5095" s="8"/>
      <c r="D5095" s="8"/>
      <c r="E5095" s="39"/>
      <c r="F5095" s="40"/>
    </row>
    <row r="5096" spans="2:6">
      <c r="B5096" s="8"/>
      <c r="C5096" s="8"/>
      <c r="D5096" s="8"/>
      <c r="E5096" s="39"/>
      <c r="F5096" s="40"/>
    </row>
    <row r="5097" spans="2:6">
      <c r="B5097" s="8"/>
      <c r="C5097" s="8"/>
      <c r="D5097" s="8"/>
      <c r="E5097" s="39"/>
      <c r="F5097" s="40"/>
    </row>
    <row r="5098" spans="2:6">
      <c r="B5098" s="8"/>
      <c r="C5098" s="8"/>
      <c r="D5098" s="8"/>
      <c r="E5098" s="39"/>
      <c r="F5098" s="40"/>
    </row>
    <row r="5099" spans="2:6">
      <c r="B5099" s="8"/>
      <c r="C5099" s="8"/>
      <c r="D5099" s="8"/>
      <c r="E5099" s="39"/>
      <c r="F5099" s="40"/>
    </row>
    <row r="5100" spans="2:6">
      <c r="B5100" s="8"/>
      <c r="C5100" s="8"/>
      <c r="D5100" s="8"/>
      <c r="E5100" s="39"/>
      <c r="F5100" s="40"/>
    </row>
    <row r="5101" spans="2:6">
      <c r="B5101" s="8"/>
      <c r="C5101" s="8"/>
      <c r="D5101" s="8"/>
      <c r="E5101" s="39"/>
      <c r="F5101" s="40"/>
    </row>
    <row r="5102" spans="2:6">
      <c r="B5102" s="8"/>
      <c r="C5102" s="8"/>
      <c r="D5102" s="8"/>
      <c r="E5102" s="39"/>
      <c r="F5102" s="40"/>
    </row>
    <row r="5103" spans="2:6">
      <c r="B5103" s="8"/>
      <c r="C5103" s="8"/>
      <c r="D5103" s="8"/>
      <c r="E5103" s="39"/>
      <c r="F5103" s="40"/>
    </row>
    <row r="5104" spans="2:6">
      <c r="B5104" s="8"/>
      <c r="C5104" s="8"/>
      <c r="D5104" s="8"/>
      <c r="E5104" s="39"/>
      <c r="F5104" s="40"/>
    </row>
    <row r="5105" spans="2:6">
      <c r="B5105" s="8"/>
      <c r="C5105" s="8"/>
      <c r="D5105" s="8"/>
      <c r="E5105" s="39"/>
      <c r="F5105" s="40"/>
    </row>
    <row r="5106" spans="2:6">
      <c r="B5106" s="8"/>
      <c r="C5106" s="8"/>
      <c r="D5106" s="8"/>
      <c r="E5106" s="39"/>
      <c r="F5106" s="40"/>
    </row>
    <row r="5107" spans="2:6">
      <c r="B5107" s="8"/>
      <c r="C5107" s="8"/>
      <c r="D5107" s="8"/>
      <c r="E5107" s="39"/>
      <c r="F5107" s="40"/>
    </row>
    <row r="5108" spans="2:6">
      <c r="B5108" s="8"/>
      <c r="C5108" s="8"/>
      <c r="D5108" s="8"/>
      <c r="E5108" s="39"/>
      <c r="F5108" s="40"/>
    </row>
    <row r="5109" spans="2:6">
      <c r="B5109" s="8"/>
      <c r="C5109" s="8"/>
      <c r="D5109" s="8"/>
      <c r="E5109" s="39"/>
      <c r="F5109" s="40"/>
    </row>
    <row r="5110" spans="2:6">
      <c r="B5110" s="8"/>
      <c r="C5110" s="8"/>
      <c r="D5110" s="8"/>
      <c r="E5110" s="39"/>
      <c r="F5110" s="40"/>
    </row>
    <row r="5111" spans="2:6">
      <c r="B5111" s="8"/>
      <c r="C5111" s="8"/>
      <c r="D5111" s="8"/>
      <c r="E5111" s="39"/>
      <c r="F5111" s="40"/>
    </row>
    <row r="5112" spans="2:6">
      <c r="B5112" s="8"/>
      <c r="C5112" s="8"/>
      <c r="D5112" s="8"/>
      <c r="E5112" s="39"/>
      <c r="F5112" s="40"/>
    </row>
    <row r="5113" spans="2:6">
      <c r="B5113" s="8"/>
      <c r="C5113" s="8"/>
      <c r="D5113" s="8"/>
      <c r="E5113" s="39"/>
      <c r="F5113" s="40"/>
    </row>
    <row r="5114" spans="2:6">
      <c r="B5114" s="8"/>
      <c r="C5114" s="8"/>
      <c r="D5114" s="8"/>
      <c r="E5114" s="39"/>
      <c r="F5114" s="40"/>
    </row>
    <row r="5115" spans="2:6">
      <c r="B5115" s="8"/>
      <c r="C5115" s="8"/>
      <c r="D5115" s="8"/>
      <c r="E5115" s="39"/>
      <c r="F5115" s="40"/>
    </row>
    <row r="5116" spans="2:6">
      <c r="B5116" s="8"/>
      <c r="C5116" s="8"/>
      <c r="D5116" s="8"/>
      <c r="E5116" s="39"/>
      <c r="F5116" s="40"/>
    </row>
    <row r="5117" spans="2:6">
      <c r="B5117" s="8"/>
      <c r="C5117" s="8"/>
      <c r="D5117" s="8"/>
      <c r="E5117" s="39"/>
      <c r="F5117" s="40"/>
    </row>
    <row r="5118" spans="2:6">
      <c r="B5118" s="8"/>
      <c r="C5118" s="8"/>
      <c r="D5118" s="8"/>
      <c r="E5118" s="39"/>
      <c r="F5118" s="40"/>
    </row>
    <row r="5119" spans="2:6">
      <c r="B5119" s="8"/>
      <c r="C5119" s="8"/>
      <c r="D5119" s="8"/>
      <c r="E5119" s="39"/>
      <c r="F5119" s="40"/>
    </row>
    <row r="5120" spans="2:6">
      <c r="B5120" s="8"/>
      <c r="C5120" s="8"/>
      <c r="D5120" s="8"/>
      <c r="E5120" s="39"/>
      <c r="F5120" s="40"/>
    </row>
    <row r="5121" spans="2:6">
      <c r="B5121" s="8"/>
      <c r="C5121" s="8"/>
      <c r="D5121" s="8"/>
      <c r="E5121" s="39"/>
      <c r="F5121" s="40"/>
    </row>
    <row r="5122" spans="2:6">
      <c r="B5122" s="8"/>
      <c r="C5122" s="8"/>
      <c r="D5122" s="8"/>
      <c r="E5122" s="39"/>
      <c r="F5122" s="40"/>
    </row>
    <row r="5123" spans="2:6">
      <c r="B5123" s="8"/>
      <c r="C5123" s="8"/>
      <c r="D5123" s="8"/>
      <c r="E5123" s="39"/>
      <c r="F5123" s="40"/>
    </row>
    <row r="5124" spans="2:6">
      <c r="B5124" s="8"/>
      <c r="C5124" s="8"/>
      <c r="D5124" s="8"/>
      <c r="E5124" s="39"/>
      <c r="F5124" s="40"/>
    </row>
    <row r="5125" spans="2:6">
      <c r="B5125" s="8"/>
      <c r="C5125" s="8"/>
      <c r="D5125" s="8"/>
      <c r="E5125" s="39"/>
      <c r="F5125" s="40"/>
    </row>
    <row r="5126" spans="2:6">
      <c r="B5126" s="8"/>
      <c r="C5126" s="8"/>
      <c r="D5126" s="8"/>
      <c r="E5126" s="39"/>
      <c r="F5126" s="40"/>
    </row>
    <row r="5127" spans="2:6">
      <c r="B5127" s="8"/>
      <c r="C5127" s="8"/>
      <c r="D5127" s="8"/>
      <c r="E5127" s="39"/>
      <c r="F5127" s="40"/>
    </row>
    <row r="5128" spans="2:6">
      <c r="B5128" s="8"/>
      <c r="C5128" s="8"/>
      <c r="D5128" s="8"/>
      <c r="E5128" s="39"/>
      <c r="F5128" s="40"/>
    </row>
    <row r="5129" spans="2:6">
      <c r="B5129" s="8"/>
      <c r="C5129" s="8"/>
      <c r="D5129" s="8"/>
      <c r="E5129" s="39"/>
      <c r="F5129" s="40"/>
    </row>
    <row r="5130" spans="2:6">
      <c r="B5130" s="8"/>
      <c r="C5130" s="8"/>
      <c r="D5130" s="8"/>
      <c r="E5130" s="39"/>
      <c r="F5130" s="40"/>
    </row>
    <row r="5131" spans="2:6">
      <c r="B5131" s="8"/>
      <c r="C5131" s="8"/>
      <c r="D5131" s="8"/>
      <c r="E5131" s="39"/>
      <c r="F5131" s="40"/>
    </row>
    <row r="5132" spans="2:6">
      <c r="B5132" s="8"/>
      <c r="C5132" s="8"/>
      <c r="D5132" s="8"/>
      <c r="E5132" s="39"/>
      <c r="F5132" s="40"/>
    </row>
    <row r="5133" spans="2:6">
      <c r="B5133" s="8"/>
      <c r="C5133" s="8"/>
      <c r="D5133" s="8"/>
      <c r="E5133" s="39"/>
      <c r="F5133" s="40"/>
    </row>
    <row r="5134" spans="2:6">
      <c r="B5134" s="8"/>
      <c r="C5134" s="8"/>
      <c r="D5134" s="8"/>
      <c r="E5134" s="39"/>
      <c r="F5134" s="40"/>
    </row>
    <row r="5135" spans="2:6">
      <c r="B5135" s="8"/>
      <c r="C5135" s="8"/>
      <c r="D5135" s="8"/>
      <c r="E5135" s="39"/>
      <c r="F5135" s="40"/>
    </row>
    <row r="5136" spans="2:6">
      <c r="B5136" s="8"/>
      <c r="C5136" s="8"/>
      <c r="D5136" s="8"/>
      <c r="E5136" s="39"/>
      <c r="F5136" s="40"/>
    </row>
    <row r="5137" spans="2:6">
      <c r="B5137" s="8"/>
      <c r="C5137" s="8"/>
      <c r="D5137" s="8"/>
      <c r="E5137" s="39"/>
      <c r="F5137" s="40"/>
    </row>
    <row r="5138" spans="2:6">
      <c r="B5138" s="8"/>
      <c r="C5138" s="8"/>
      <c r="D5138" s="8"/>
      <c r="E5138" s="39"/>
      <c r="F5138" s="40"/>
    </row>
    <row r="5139" spans="2:6">
      <c r="B5139" s="8"/>
      <c r="C5139" s="8"/>
      <c r="D5139" s="8"/>
      <c r="E5139" s="39"/>
      <c r="F5139" s="40"/>
    </row>
    <row r="5140" spans="2:6">
      <c r="B5140" s="8"/>
      <c r="C5140" s="8"/>
      <c r="D5140" s="8"/>
      <c r="E5140" s="39"/>
      <c r="F5140" s="40"/>
    </row>
    <row r="5141" spans="2:6">
      <c r="B5141" s="8"/>
      <c r="C5141" s="8"/>
      <c r="D5141" s="8"/>
      <c r="E5141" s="39"/>
      <c r="F5141" s="40"/>
    </row>
    <row r="5142" spans="2:6">
      <c r="B5142" s="8"/>
      <c r="C5142" s="8"/>
      <c r="D5142" s="8"/>
      <c r="E5142" s="39"/>
      <c r="F5142" s="40"/>
    </row>
    <row r="5143" spans="2:6">
      <c r="B5143" s="8"/>
      <c r="C5143" s="8"/>
      <c r="D5143" s="8"/>
      <c r="E5143" s="39"/>
      <c r="F5143" s="40"/>
    </row>
    <row r="5144" spans="2:6">
      <c r="B5144" s="8"/>
      <c r="C5144" s="8"/>
      <c r="D5144" s="8"/>
      <c r="E5144" s="39"/>
      <c r="F5144" s="40"/>
    </row>
    <row r="5145" spans="2:6">
      <c r="B5145" s="8"/>
      <c r="C5145" s="8"/>
      <c r="D5145" s="8"/>
      <c r="E5145" s="39"/>
      <c r="F5145" s="40"/>
    </row>
    <row r="5146" spans="2:6">
      <c r="B5146" s="8"/>
      <c r="C5146" s="8"/>
      <c r="D5146" s="8"/>
      <c r="E5146" s="39"/>
      <c r="F5146" s="40"/>
    </row>
    <row r="5147" spans="2:6">
      <c r="B5147" s="8"/>
      <c r="C5147" s="8"/>
      <c r="D5147" s="8"/>
      <c r="E5147" s="39"/>
      <c r="F5147" s="40"/>
    </row>
    <row r="5148" spans="2:6">
      <c r="B5148" s="8"/>
      <c r="C5148" s="8"/>
      <c r="D5148" s="8"/>
      <c r="E5148" s="39"/>
      <c r="F5148" s="40"/>
    </row>
    <row r="5149" spans="2:6">
      <c r="B5149" s="8"/>
      <c r="C5149" s="8"/>
      <c r="D5149" s="8"/>
      <c r="E5149" s="39"/>
      <c r="F5149" s="40"/>
    </row>
    <row r="5150" spans="2:6">
      <c r="B5150" s="8"/>
      <c r="C5150" s="8"/>
      <c r="D5150" s="8"/>
      <c r="E5150" s="39"/>
      <c r="F5150" s="40"/>
    </row>
    <row r="5151" spans="2:6">
      <c r="B5151" s="8"/>
      <c r="C5151" s="8"/>
      <c r="D5151" s="8"/>
      <c r="E5151" s="39"/>
      <c r="F5151" s="40"/>
    </row>
    <row r="5152" spans="2:6">
      <c r="B5152" s="8"/>
      <c r="C5152" s="8"/>
      <c r="D5152" s="8"/>
      <c r="E5152" s="39"/>
      <c r="F5152" s="40"/>
    </row>
    <row r="5153" spans="2:6">
      <c r="B5153" s="8"/>
      <c r="C5153" s="8"/>
      <c r="D5153" s="8"/>
      <c r="E5153" s="39"/>
      <c r="F5153" s="40"/>
    </row>
    <row r="5154" spans="2:6">
      <c r="B5154" s="8"/>
      <c r="C5154" s="8"/>
      <c r="D5154" s="8"/>
      <c r="E5154" s="39"/>
      <c r="F5154" s="40"/>
    </row>
    <row r="5155" spans="2:6">
      <c r="B5155" s="8"/>
      <c r="C5155" s="8"/>
      <c r="D5155" s="8"/>
      <c r="E5155" s="39"/>
      <c r="F5155" s="40"/>
    </row>
    <row r="5156" spans="2:6">
      <c r="B5156" s="8"/>
      <c r="C5156" s="8"/>
      <c r="D5156" s="8"/>
      <c r="E5156" s="39"/>
      <c r="F5156" s="40"/>
    </row>
    <row r="5157" spans="2:6">
      <c r="B5157" s="8"/>
      <c r="C5157" s="8"/>
      <c r="D5157" s="8"/>
      <c r="E5157" s="39"/>
      <c r="F5157" s="40"/>
    </row>
    <row r="5158" spans="2:6">
      <c r="B5158" s="8"/>
      <c r="C5158" s="8"/>
      <c r="D5158" s="8"/>
      <c r="E5158" s="39"/>
      <c r="F5158" s="40"/>
    </row>
    <row r="5159" spans="2:6">
      <c r="B5159" s="8"/>
      <c r="C5159" s="8"/>
      <c r="D5159" s="8"/>
      <c r="E5159" s="39"/>
      <c r="F5159" s="40"/>
    </row>
    <row r="5160" spans="2:6">
      <c r="B5160" s="8"/>
      <c r="C5160" s="8"/>
      <c r="D5160" s="8"/>
      <c r="E5160" s="39"/>
      <c r="F5160" s="40"/>
    </row>
    <row r="5161" spans="2:6">
      <c r="B5161" s="8"/>
      <c r="C5161" s="8"/>
      <c r="D5161" s="8"/>
      <c r="E5161" s="39"/>
      <c r="F5161" s="40"/>
    </row>
    <row r="5162" spans="2:6">
      <c r="B5162" s="8"/>
      <c r="C5162" s="8"/>
      <c r="D5162" s="8"/>
      <c r="E5162" s="39"/>
      <c r="F5162" s="40"/>
    </row>
    <row r="5163" spans="2:6">
      <c r="B5163" s="8"/>
      <c r="C5163" s="8"/>
      <c r="D5163" s="8"/>
      <c r="E5163" s="39"/>
      <c r="F5163" s="40"/>
    </row>
    <row r="5164" spans="2:6">
      <c r="B5164" s="8"/>
      <c r="C5164" s="8"/>
      <c r="D5164" s="8"/>
      <c r="E5164" s="39"/>
      <c r="F5164" s="40"/>
    </row>
    <row r="5165" spans="2:6">
      <c r="B5165" s="8"/>
      <c r="C5165" s="8"/>
      <c r="D5165" s="8"/>
      <c r="E5165" s="39"/>
      <c r="F5165" s="40"/>
    </row>
    <row r="5166" spans="2:6">
      <c r="B5166" s="8"/>
      <c r="C5166" s="8"/>
      <c r="D5166" s="8"/>
      <c r="E5166" s="39"/>
      <c r="F5166" s="40"/>
    </row>
    <row r="5167" spans="2:6">
      <c r="B5167" s="8"/>
      <c r="C5167" s="8"/>
      <c r="D5167" s="8"/>
      <c r="E5167" s="39"/>
      <c r="F5167" s="40"/>
    </row>
    <row r="5168" spans="2:6">
      <c r="B5168" s="8"/>
      <c r="C5168" s="8"/>
      <c r="D5168" s="8"/>
      <c r="E5168" s="39"/>
      <c r="F5168" s="40"/>
    </row>
    <row r="5169" spans="2:6">
      <c r="B5169" s="8"/>
      <c r="C5169" s="8"/>
      <c r="D5169" s="8"/>
      <c r="E5169" s="39"/>
      <c r="F5169" s="40"/>
    </row>
    <row r="5170" spans="2:6">
      <c r="B5170" s="8"/>
      <c r="C5170" s="8"/>
      <c r="D5170" s="8"/>
      <c r="E5170" s="39"/>
      <c r="F5170" s="40"/>
    </row>
    <row r="5171" spans="2:6">
      <c r="B5171" s="8"/>
      <c r="C5171" s="8"/>
      <c r="D5171" s="8"/>
      <c r="E5171" s="39"/>
      <c r="F5171" s="40"/>
    </row>
    <row r="5172" spans="2:6">
      <c r="B5172" s="8"/>
      <c r="C5172" s="8"/>
      <c r="D5172" s="8"/>
      <c r="E5172" s="39"/>
      <c r="F5172" s="40"/>
    </row>
    <row r="5173" spans="2:6">
      <c r="B5173" s="8"/>
      <c r="C5173" s="8"/>
      <c r="D5173" s="8"/>
      <c r="E5173" s="39"/>
      <c r="F5173" s="40"/>
    </row>
    <row r="5174" spans="2:6">
      <c r="B5174" s="8"/>
      <c r="C5174" s="8"/>
      <c r="D5174" s="8"/>
      <c r="E5174" s="39"/>
      <c r="F5174" s="40"/>
    </row>
    <row r="5175" spans="2:6">
      <c r="B5175" s="8"/>
      <c r="C5175" s="8"/>
      <c r="D5175" s="8"/>
      <c r="E5175" s="39"/>
      <c r="F5175" s="40"/>
    </row>
    <row r="5176" spans="2:6">
      <c r="B5176" s="8"/>
      <c r="C5176" s="8"/>
      <c r="D5176" s="8"/>
      <c r="E5176" s="39"/>
      <c r="F5176" s="40"/>
    </row>
    <row r="5177" spans="2:6">
      <c r="B5177" s="8"/>
      <c r="C5177" s="8"/>
      <c r="D5177" s="8"/>
      <c r="E5177" s="39"/>
      <c r="F5177" s="40"/>
    </row>
    <row r="5178" spans="2:6">
      <c r="B5178" s="8"/>
      <c r="C5178" s="8"/>
      <c r="D5178" s="8"/>
      <c r="E5178" s="39"/>
      <c r="F5178" s="40"/>
    </row>
    <row r="5179" spans="2:6">
      <c r="B5179" s="8"/>
      <c r="C5179" s="8"/>
      <c r="D5179" s="8"/>
      <c r="E5179" s="39"/>
      <c r="F5179" s="40"/>
    </row>
    <row r="5180" spans="2:6">
      <c r="B5180" s="8"/>
      <c r="C5180" s="8"/>
      <c r="D5180" s="8"/>
      <c r="E5180" s="39"/>
      <c r="F5180" s="40"/>
    </row>
    <row r="5181" spans="2:6">
      <c r="B5181" s="8"/>
      <c r="C5181" s="8"/>
      <c r="D5181" s="8"/>
      <c r="E5181" s="39"/>
      <c r="F5181" s="40"/>
    </row>
    <row r="5182" spans="2:6">
      <c r="B5182" s="8"/>
      <c r="C5182" s="8"/>
      <c r="D5182" s="8"/>
      <c r="E5182" s="39"/>
      <c r="F5182" s="40"/>
    </row>
    <row r="5183" spans="2:6">
      <c r="B5183" s="8"/>
      <c r="C5183" s="8"/>
      <c r="D5183" s="8"/>
      <c r="E5183" s="39"/>
      <c r="F5183" s="40"/>
    </row>
    <row r="5184" spans="2:6">
      <c r="B5184" s="8"/>
      <c r="C5184" s="8"/>
      <c r="D5184" s="8"/>
      <c r="E5184" s="39"/>
      <c r="F5184" s="40"/>
    </row>
    <row r="5185" spans="2:6">
      <c r="B5185" s="8"/>
      <c r="C5185" s="8"/>
      <c r="D5185" s="8"/>
      <c r="E5185" s="39"/>
      <c r="F5185" s="40"/>
    </row>
    <row r="5186" spans="2:6">
      <c r="B5186" s="8"/>
      <c r="C5186" s="8"/>
      <c r="D5186" s="8"/>
      <c r="E5186" s="39"/>
      <c r="F5186" s="40"/>
    </row>
    <row r="5187" spans="2:6">
      <c r="B5187" s="8"/>
      <c r="C5187" s="8"/>
      <c r="D5187" s="8"/>
      <c r="E5187" s="39"/>
      <c r="F5187" s="40"/>
    </row>
    <row r="5188" spans="2:6">
      <c r="B5188" s="8"/>
      <c r="C5188" s="8"/>
      <c r="D5188" s="8"/>
      <c r="E5188" s="39"/>
      <c r="F5188" s="40"/>
    </row>
    <row r="5189" spans="2:6">
      <c r="B5189" s="8"/>
      <c r="C5189" s="8"/>
      <c r="D5189" s="8"/>
      <c r="E5189" s="39"/>
      <c r="F5189" s="40"/>
    </row>
    <row r="5190" spans="2:6">
      <c r="B5190" s="8"/>
      <c r="C5190" s="8"/>
      <c r="D5190" s="8"/>
      <c r="E5190" s="39"/>
      <c r="F5190" s="40"/>
    </row>
    <row r="5191" spans="2:6">
      <c r="B5191" s="8"/>
      <c r="C5191" s="8"/>
      <c r="D5191" s="8"/>
      <c r="E5191" s="39"/>
      <c r="F5191" s="40"/>
    </row>
    <row r="5192" spans="2:6">
      <c r="B5192" s="8"/>
      <c r="C5192" s="8"/>
      <c r="D5192" s="8"/>
      <c r="E5192" s="39"/>
      <c r="F5192" s="40"/>
    </row>
    <row r="5193" spans="2:6">
      <c r="B5193" s="8"/>
      <c r="C5193" s="8"/>
      <c r="D5193" s="8"/>
      <c r="E5193" s="39"/>
      <c r="F5193" s="40"/>
    </row>
    <row r="5194" spans="2:6">
      <c r="B5194" s="8"/>
      <c r="C5194" s="8"/>
      <c r="D5194" s="8"/>
      <c r="E5194" s="39"/>
      <c r="F5194" s="40"/>
    </row>
    <row r="5195" spans="2:6">
      <c r="B5195" s="8"/>
      <c r="C5195" s="8"/>
      <c r="D5195" s="8"/>
      <c r="E5195" s="39"/>
      <c r="F5195" s="40"/>
    </row>
    <row r="5196" spans="2:6">
      <c r="B5196" s="8"/>
      <c r="C5196" s="8"/>
      <c r="D5196" s="8"/>
      <c r="E5196" s="39"/>
      <c r="F5196" s="40"/>
    </row>
    <row r="5197" spans="2:6">
      <c r="B5197" s="8"/>
      <c r="C5197" s="8"/>
      <c r="D5197" s="8"/>
      <c r="E5197" s="39"/>
      <c r="F5197" s="40"/>
    </row>
    <row r="5198" spans="2:6">
      <c r="B5198" s="8"/>
      <c r="C5198" s="8"/>
      <c r="D5198" s="8"/>
      <c r="E5198" s="39"/>
      <c r="F5198" s="40"/>
    </row>
    <row r="5199" spans="2:6">
      <c r="B5199" s="8"/>
      <c r="C5199" s="8"/>
      <c r="D5199" s="8"/>
      <c r="E5199" s="39"/>
      <c r="F5199" s="40"/>
    </row>
    <row r="5200" spans="2:6">
      <c r="B5200" s="8"/>
      <c r="C5200" s="8"/>
      <c r="D5200" s="8"/>
      <c r="E5200" s="39"/>
      <c r="F5200" s="40"/>
    </row>
    <row r="5201" spans="2:6">
      <c r="B5201" s="8"/>
      <c r="C5201" s="8"/>
      <c r="D5201" s="8"/>
      <c r="E5201" s="39"/>
      <c r="F5201" s="40"/>
    </row>
    <row r="5202" spans="2:6">
      <c r="B5202" s="8"/>
      <c r="C5202" s="8"/>
      <c r="D5202" s="8"/>
      <c r="E5202" s="39"/>
      <c r="F5202" s="40"/>
    </row>
    <row r="5203" spans="2:6">
      <c r="B5203" s="8"/>
      <c r="C5203" s="8"/>
      <c r="D5203" s="8"/>
      <c r="E5203" s="39"/>
      <c r="F5203" s="40"/>
    </row>
    <row r="5204" spans="2:6">
      <c r="B5204" s="8"/>
      <c r="C5204" s="8"/>
      <c r="D5204" s="8"/>
      <c r="E5204" s="39"/>
      <c r="F5204" s="40"/>
    </row>
    <row r="5205" spans="2:6">
      <c r="B5205" s="8"/>
      <c r="C5205" s="8"/>
      <c r="D5205" s="8"/>
      <c r="E5205" s="39"/>
      <c r="F5205" s="40"/>
    </row>
    <row r="5206" spans="2:6">
      <c r="B5206" s="8"/>
      <c r="C5206" s="8"/>
      <c r="D5206" s="8"/>
      <c r="E5206" s="39"/>
      <c r="F5206" s="40"/>
    </row>
    <row r="5207" spans="2:6">
      <c r="B5207" s="8"/>
      <c r="C5207" s="8"/>
      <c r="D5207" s="8"/>
      <c r="E5207" s="39"/>
      <c r="F5207" s="40"/>
    </row>
    <row r="5208" spans="2:6">
      <c r="B5208" s="8"/>
      <c r="C5208" s="8"/>
      <c r="D5208" s="8"/>
      <c r="E5208" s="39"/>
      <c r="F5208" s="40"/>
    </row>
    <row r="5209" spans="2:6">
      <c r="B5209" s="8"/>
      <c r="C5209" s="8"/>
      <c r="D5209" s="8"/>
      <c r="E5209" s="39"/>
      <c r="F5209" s="40"/>
    </row>
    <row r="5210" spans="2:6">
      <c r="B5210" s="8"/>
      <c r="C5210" s="8"/>
      <c r="D5210" s="8"/>
      <c r="E5210" s="39"/>
      <c r="F5210" s="40"/>
    </row>
    <row r="5211" spans="2:6">
      <c r="B5211" s="8"/>
      <c r="C5211" s="8"/>
      <c r="D5211" s="8"/>
      <c r="E5211" s="39"/>
      <c r="F5211" s="40"/>
    </row>
    <row r="5212" spans="2:6">
      <c r="B5212" s="8"/>
      <c r="C5212" s="8"/>
      <c r="D5212" s="8"/>
      <c r="E5212" s="39"/>
      <c r="F5212" s="40"/>
    </row>
    <row r="5213" spans="2:6">
      <c r="B5213" s="8"/>
      <c r="C5213" s="8"/>
      <c r="D5213" s="8"/>
      <c r="E5213" s="39"/>
      <c r="F5213" s="40"/>
    </row>
    <row r="5214" spans="2:6">
      <c r="B5214" s="8"/>
      <c r="C5214" s="8"/>
      <c r="D5214" s="8"/>
      <c r="E5214" s="39"/>
      <c r="F5214" s="40"/>
    </row>
    <row r="5215" spans="2:6">
      <c r="B5215" s="8"/>
      <c r="C5215" s="8"/>
      <c r="D5215" s="8"/>
      <c r="E5215" s="39"/>
      <c r="F5215" s="40"/>
    </row>
    <row r="5216" spans="2:6">
      <c r="B5216" s="8"/>
      <c r="C5216" s="8"/>
      <c r="D5216" s="8"/>
      <c r="E5216" s="39"/>
      <c r="F5216" s="40"/>
    </row>
    <row r="5217" spans="2:6">
      <c r="B5217" s="8"/>
      <c r="C5217" s="8"/>
      <c r="D5217" s="8"/>
      <c r="E5217" s="39"/>
      <c r="F5217" s="40"/>
    </row>
    <row r="5218" spans="2:6">
      <c r="B5218" s="8"/>
      <c r="C5218" s="8"/>
      <c r="D5218" s="8"/>
      <c r="E5218" s="39"/>
      <c r="F5218" s="40"/>
    </row>
    <row r="5219" spans="2:6">
      <c r="B5219" s="8"/>
      <c r="C5219" s="8"/>
      <c r="D5219" s="8"/>
      <c r="E5219" s="39"/>
      <c r="F5219" s="40"/>
    </row>
    <row r="5220" spans="2:6">
      <c r="B5220" s="8"/>
      <c r="C5220" s="8"/>
      <c r="D5220" s="8"/>
      <c r="E5220" s="39"/>
      <c r="F5220" s="40"/>
    </row>
    <row r="5221" spans="2:6">
      <c r="B5221" s="8"/>
      <c r="C5221" s="8"/>
      <c r="D5221" s="8"/>
      <c r="E5221" s="39"/>
      <c r="F5221" s="40"/>
    </row>
    <row r="5222" spans="2:6">
      <c r="B5222" s="8"/>
      <c r="C5222" s="8"/>
      <c r="D5222" s="8"/>
      <c r="E5222" s="39"/>
      <c r="F5222" s="40"/>
    </row>
    <row r="5223" spans="2:6">
      <c r="B5223" s="8"/>
      <c r="C5223" s="8"/>
      <c r="D5223" s="8"/>
      <c r="E5223" s="39"/>
      <c r="F5223" s="40"/>
    </row>
    <row r="5224" spans="2:6">
      <c r="B5224" s="8"/>
      <c r="C5224" s="8"/>
      <c r="D5224" s="8"/>
      <c r="E5224" s="39"/>
      <c r="F5224" s="40"/>
    </row>
    <row r="5225" spans="2:6">
      <c r="B5225" s="8"/>
      <c r="C5225" s="8"/>
      <c r="D5225" s="8"/>
      <c r="E5225" s="39"/>
      <c r="F5225" s="40"/>
    </row>
    <row r="5226" spans="2:6">
      <c r="B5226" s="8"/>
      <c r="C5226" s="8"/>
      <c r="D5226" s="8"/>
      <c r="E5226" s="39"/>
      <c r="F5226" s="40"/>
    </row>
    <row r="5227" spans="2:6">
      <c r="B5227" s="8"/>
      <c r="C5227" s="8"/>
      <c r="D5227" s="8"/>
      <c r="E5227" s="39"/>
      <c r="F5227" s="40"/>
    </row>
    <row r="5228" spans="2:6">
      <c r="B5228" s="8"/>
      <c r="C5228" s="8"/>
      <c r="D5228" s="8"/>
      <c r="E5228" s="39"/>
      <c r="F5228" s="40"/>
    </row>
    <row r="5229" spans="2:6">
      <c r="B5229" s="8"/>
      <c r="C5229" s="8"/>
      <c r="D5229" s="8"/>
      <c r="E5229" s="39"/>
      <c r="F5229" s="40"/>
    </row>
    <row r="5230" spans="2:6">
      <c r="B5230" s="8"/>
      <c r="C5230" s="8"/>
      <c r="D5230" s="8"/>
      <c r="E5230" s="39"/>
      <c r="F5230" s="40"/>
    </row>
    <row r="5231" spans="2:6">
      <c r="B5231" s="8"/>
      <c r="C5231" s="8"/>
      <c r="D5231" s="8"/>
      <c r="E5231" s="39"/>
      <c r="F5231" s="40"/>
    </row>
    <row r="5232" spans="2:6">
      <c r="B5232" s="8"/>
      <c r="C5232" s="8"/>
      <c r="D5232" s="8"/>
      <c r="E5232" s="39"/>
      <c r="F5232" s="40"/>
    </row>
    <row r="5233" spans="2:6">
      <c r="B5233" s="8"/>
      <c r="C5233" s="8"/>
      <c r="D5233" s="8"/>
      <c r="E5233" s="39"/>
      <c r="F5233" s="40"/>
    </row>
    <row r="5234" spans="2:6">
      <c r="B5234" s="8"/>
      <c r="C5234" s="8"/>
      <c r="D5234" s="8"/>
      <c r="E5234" s="39"/>
      <c r="F5234" s="40"/>
    </row>
    <row r="5235" spans="2:6">
      <c r="B5235" s="8"/>
      <c r="C5235" s="8"/>
      <c r="D5235" s="8"/>
      <c r="E5235" s="39"/>
      <c r="F5235" s="40"/>
    </row>
    <row r="5236" spans="2:6">
      <c r="B5236" s="8"/>
      <c r="C5236" s="8"/>
      <c r="D5236" s="8"/>
      <c r="E5236" s="39"/>
      <c r="F5236" s="40"/>
    </row>
    <row r="5237" spans="2:6">
      <c r="B5237" s="8"/>
      <c r="C5237" s="8"/>
      <c r="D5237" s="8"/>
      <c r="E5237" s="39"/>
      <c r="F5237" s="40"/>
    </row>
    <row r="5238" spans="2:6">
      <c r="B5238" s="8"/>
      <c r="C5238" s="8"/>
      <c r="D5238" s="8"/>
      <c r="E5238" s="39"/>
      <c r="F5238" s="40"/>
    </row>
    <row r="5239" spans="2:6">
      <c r="B5239" s="8"/>
      <c r="C5239" s="8"/>
      <c r="D5239" s="8"/>
      <c r="E5239" s="39"/>
      <c r="F5239" s="40"/>
    </row>
    <row r="5240" spans="2:6">
      <c r="B5240" s="8"/>
      <c r="C5240" s="8"/>
      <c r="D5240" s="8"/>
      <c r="E5240" s="39"/>
      <c r="F5240" s="40"/>
    </row>
    <row r="5241" spans="2:6">
      <c r="B5241" s="8"/>
      <c r="C5241" s="8"/>
      <c r="D5241" s="8"/>
      <c r="E5241" s="39"/>
      <c r="F5241" s="40"/>
    </row>
    <row r="5242" spans="2:6">
      <c r="B5242" s="8"/>
      <c r="C5242" s="8"/>
      <c r="D5242" s="8"/>
      <c r="E5242" s="39"/>
      <c r="F5242" s="40"/>
    </row>
    <row r="5243" spans="2:6">
      <c r="B5243" s="8"/>
      <c r="C5243" s="8"/>
      <c r="D5243" s="8"/>
      <c r="E5243" s="39"/>
      <c r="F5243" s="40"/>
    </row>
    <row r="5244" spans="2:6">
      <c r="B5244" s="8"/>
      <c r="C5244" s="8"/>
      <c r="D5244" s="8"/>
      <c r="E5244" s="39"/>
      <c r="F5244" s="40"/>
    </row>
    <row r="5245" spans="2:6">
      <c r="B5245" s="8"/>
      <c r="C5245" s="8"/>
      <c r="D5245" s="8"/>
      <c r="E5245" s="39"/>
      <c r="F5245" s="40"/>
    </row>
    <row r="5246" spans="2:6">
      <c r="B5246" s="8"/>
      <c r="C5246" s="8"/>
      <c r="D5246" s="8"/>
      <c r="E5246" s="39"/>
      <c r="F5246" s="40"/>
    </row>
    <row r="5247" spans="2:6">
      <c r="B5247" s="8"/>
      <c r="C5247" s="8"/>
      <c r="D5247" s="8"/>
      <c r="E5247" s="39"/>
      <c r="F5247" s="40"/>
    </row>
    <row r="5248" spans="2:6">
      <c r="B5248" s="8"/>
      <c r="C5248" s="8"/>
      <c r="D5248" s="8"/>
      <c r="E5248" s="39"/>
      <c r="F5248" s="40"/>
    </row>
    <row r="5249" spans="2:6">
      <c r="B5249" s="8"/>
      <c r="C5249" s="8"/>
      <c r="D5249" s="8"/>
      <c r="E5249" s="39"/>
      <c r="F5249" s="40"/>
    </row>
    <row r="5250" spans="2:6">
      <c r="B5250" s="8"/>
      <c r="C5250" s="8"/>
      <c r="D5250" s="8"/>
      <c r="E5250" s="39"/>
      <c r="F5250" s="40"/>
    </row>
    <row r="5251" spans="2:6">
      <c r="B5251" s="8"/>
      <c r="C5251" s="8"/>
      <c r="D5251" s="8"/>
      <c r="E5251" s="39"/>
      <c r="F5251" s="40"/>
    </row>
    <row r="5252" spans="2:6">
      <c r="B5252" s="8"/>
      <c r="C5252" s="8"/>
      <c r="D5252" s="8"/>
      <c r="E5252" s="39"/>
      <c r="F5252" s="40"/>
    </row>
    <row r="5253" spans="2:6">
      <c r="B5253" s="8"/>
      <c r="C5253" s="8"/>
      <c r="D5253" s="8"/>
      <c r="E5253" s="39"/>
      <c r="F5253" s="40"/>
    </row>
    <row r="5254" spans="2:6">
      <c r="B5254" s="8"/>
      <c r="C5254" s="8"/>
      <c r="D5254" s="8"/>
      <c r="E5254" s="39"/>
      <c r="F5254" s="40"/>
    </row>
    <row r="5255" spans="2:6">
      <c r="B5255" s="8"/>
      <c r="C5255" s="8"/>
      <c r="D5255" s="8"/>
      <c r="E5255" s="39"/>
      <c r="F5255" s="40"/>
    </row>
    <row r="5256" spans="2:6">
      <c r="B5256" s="8"/>
      <c r="C5256" s="8"/>
      <c r="D5256" s="8"/>
      <c r="E5256" s="39"/>
      <c r="F5256" s="40"/>
    </row>
    <row r="5257" spans="2:6">
      <c r="B5257" s="8"/>
      <c r="C5257" s="8"/>
      <c r="D5257" s="8"/>
      <c r="E5257" s="39"/>
      <c r="F5257" s="40"/>
    </row>
    <row r="5258" spans="2:6">
      <c r="B5258" s="8"/>
      <c r="C5258" s="8"/>
      <c r="D5258" s="8"/>
      <c r="E5258" s="39"/>
      <c r="F5258" s="40"/>
    </row>
    <row r="5259" spans="2:6">
      <c r="B5259" s="8"/>
      <c r="C5259" s="8"/>
      <c r="D5259" s="8"/>
      <c r="E5259" s="39"/>
      <c r="F5259" s="40"/>
    </row>
    <row r="5260" spans="2:6">
      <c r="B5260" s="8"/>
      <c r="C5260" s="8"/>
      <c r="D5260" s="8"/>
      <c r="E5260" s="39"/>
      <c r="F5260" s="40"/>
    </row>
    <row r="5261" spans="2:6">
      <c r="B5261" s="8"/>
      <c r="C5261" s="8"/>
      <c r="D5261" s="8"/>
      <c r="E5261" s="39"/>
      <c r="F5261" s="40"/>
    </row>
    <row r="5262" spans="2:6">
      <c r="B5262" s="8"/>
      <c r="C5262" s="8"/>
      <c r="D5262" s="8"/>
      <c r="E5262" s="39"/>
      <c r="F5262" s="40"/>
    </row>
    <row r="5263" spans="2:6">
      <c r="B5263" s="8"/>
      <c r="C5263" s="8"/>
      <c r="D5263" s="8"/>
      <c r="E5263" s="39"/>
      <c r="F5263" s="40"/>
    </row>
    <row r="5264" spans="2:6">
      <c r="B5264" s="8"/>
      <c r="C5264" s="8"/>
      <c r="D5264" s="8"/>
      <c r="E5264" s="39"/>
      <c r="F5264" s="40"/>
    </row>
    <row r="5265" spans="2:6">
      <c r="B5265" s="8"/>
      <c r="C5265" s="8"/>
      <c r="D5265" s="8"/>
      <c r="E5265" s="39"/>
      <c r="F5265" s="40"/>
    </row>
    <row r="5266" spans="2:6">
      <c r="B5266" s="8"/>
      <c r="C5266" s="8"/>
      <c r="D5266" s="8"/>
      <c r="E5266" s="39"/>
      <c r="F5266" s="40"/>
    </row>
    <row r="5267" spans="2:6">
      <c r="B5267" s="8"/>
      <c r="C5267" s="8"/>
      <c r="D5267" s="8"/>
      <c r="E5267" s="39"/>
      <c r="F5267" s="40"/>
    </row>
    <row r="5268" spans="2:6">
      <c r="B5268" s="8"/>
      <c r="C5268" s="8"/>
      <c r="D5268" s="8"/>
      <c r="E5268" s="39"/>
      <c r="F5268" s="40"/>
    </row>
    <row r="5269" spans="2:6">
      <c r="B5269" s="8"/>
      <c r="C5269" s="8"/>
      <c r="D5269" s="8"/>
      <c r="E5269" s="39"/>
      <c r="F5269" s="40"/>
    </row>
    <row r="5270" spans="2:6">
      <c r="B5270" s="8"/>
      <c r="C5270" s="8"/>
      <c r="D5270" s="8"/>
      <c r="E5270" s="39"/>
      <c r="F5270" s="40"/>
    </row>
    <row r="5271" spans="2:6">
      <c r="B5271" s="8"/>
      <c r="C5271" s="8"/>
      <c r="D5271" s="8"/>
      <c r="E5271" s="39"/>
      <c r="F5271" s="40"/>
    </row>
    <row r="5272" spans="2:6">
      <c r="B5272" s="8"/>
      <c r="C5272" s="8"/>
      <c r="D5272" s="8"/>
      <c r="E5272" s="39"/>
      <c r="F5272" s="40"/>
    </row>
    <row r="5273" spans="2:6">
      <c r="B5273" s="8"/>
      <c r="C5273" s="8"/>
      <c r="D5273" s="8"/>
      <c r="E5273" s="39"/>
      <c r="F5273" s="40"/>
    </row>
    <row r="5274" spans="2:6">
      <c r="B5274" s="8"/>
      <c r="C5274" s="8"/>
      <c r="D5274" s="8"/>
      <c r="E5274" s="39"/>
      <c r="F5274" s="40"/>
    </row>
    <row r="5275" spans="2:6">
      <c r="B5275" s="8"/>
      <c r="C5275" s="8"/>
      <c r="D5275" s="8"/>
      <c r="E5275" s="39"/>
      <c r="F5275" s="40"/>
    </row>
    <row r="5276" spans="2:6">
      <c r="B5276" s="8"/>
      <c r="C5276" s="8"/>
      <c r="D5276" s="8"/>
      <c r="E5276" s="39"/>
      <c r="F5276" s="40"/>
    </row>
    <row r="5277" spans="2:6">
      <c r="B5277" s="8"/>
      <c r="C5277" s="8"/>
      <c r="D5277" s="8"/>
      <c r="E5277" s="39"/>
      <c r="F5277" s="40"/>
    </row>
    <row r="5278" spans="2:6">
      <c r="B5278" s="8"/>
      <c r="C5278" s="8"/>
      <c r="D5278" s="8"/>
      <c r="E5278" s="39"/>
      <c r="F5278" s="40"/>
    </row>
    <row r="5279" spans="2:6">
      <c r="B5279" s="8"/>
      <c r="C5279" s="8"/>
      <c r="D5279" s="8"/>
      <c r="E5279" s="39"/>
      <c r="F5279" s="40"/>
    </row>
    <row r="5280" spans="2:6">
      <c r="B5280" s="8"/>
      <c r="C5280" s="8"/>
      <c r="D5280" s="8"/>
      <c r="E5280" s="39"/>
      <c r="F5280" s="40"/>
    </row>
    <row r="5281" spans="2:6">
      <c r="B5281" s="8"/>
      <c r="C5281" s="8"/>
      <c r="D5281" s="8"/>
      <c r="E5281" s="39"/>
      <c r="F5281" s="40"/>
    </row>
    <row r="5282" spans="2:6">
      <c r="B5282" s="8"/>
      <c r="C5282" s="8"/>
      <c r="D5282" s="8"/>
      <c r="E5282" s="39"/>
      <c r="F5282" s="40"/>
    </row>
    <row r="5283" spans="2:6">
      <c r="B5283" s="8"/>
      <c r="C5283" s="8"/>
      <c r="D5283" s="8"/>
      <c r="E5283" s="39"/>
      <c r="F5283" s="40"/>
    </row>
    <row r="5284" spans="2:6">
      <c r="B5284" s="8"/>
      <c r="C5284" s="8"/>
      <c r="D5284" s="8"/>
      <c r="E5284" s="39"/>
      <c r="F5284" s="40"/>
    </row>
    <row r="5285" spans="2:6">
      <c r="B5285" s="8"/>
      <c r="C5285" s="8"/>
      <c r="D5285" s="8"/>
      <c r="E5285" s="39"/>
      <c r="F5285" s="40"/>
    </row>
    <row r="5286" spans="2:6">
      <c r="B5286" s="8"/>
      <c r="C5286" s="8"/>
      <c r="D5286" s="8"/>
      <c r="E5286" s="39"/>
      <c r="F5286" s="40"/>
    </row>
    <row r="5287" spans="2:6">
      <c r="B5287" s="8"/>
      <c r="C5287" s="8"/>
      <c r="D5287" s="8"/>
      <c r="E5287" s="39"/>
      <c r="F5287" s="40"/>
    </row>
    <row r="5288" spans="2:6">
      <c r="B5288" s="8"/>
      <c r="C5288" s="8"/>
      <c r="D5288" s="8"/>
      <c r="E5288" s="39"/>
      <c r="F5288" s="40"/>
    </row>
    <row r="5289" spans="2:6">
      <c r="B5289" s="8"/>
      <c r="C5289" s="8"/>
      <c r="D5289" s="8"/>
      <c r="E5289" s="39"/>
      <c r="F5289" s="40"/>
    </row>
    <row r="5290" spans="2:6">
      <c r="B5290" s="8"/>
      <c r="C5290" s="8"/>
      <c r="D5290" s="8"/>
      <c r="E5290" s="39"/>
      <c r="F5290" s="40"/>
    </row>
    <row r="5291" spans="2:6">
      <c r="B5291" s="8"/>
      <c r="C5291" s="8"/>
      <c r="D5291" s="8"/>
      <c r="E5291" s="39"/>
      <c r="F5291" s="40"/>
    </row>
    <row r="5292" spans="2:6">
      <c r="B5292" s="8"/>
      <c r="C5292" s="8"/>
      <c r="D5292" s="8"/>
      <c r="E5292" s="39"/>
      <c r="F5292" s="40"/>
    </row>
    <row r="5293" spans="2:6">
      <c r="B5293" s="8"/>
      <c r="C5293" s="8"/>
      <c r="D5293" s="8"/>
      <c r="E5293" s="39"/>
      <c r="F5293" s="40"/>
    </row>
    <row r="5294" spans="2:6">
      <c r="B5294" s="8"/>
      <c r="C5294" s="8"/>
      <c r="D5294" s="8"/>
      <c r="E5294" s="39"/>
      <c r="F5294" s="40"/>
    </row>
    <row r="5295" spans="2:6">
      <c r="B5295" s="8"/>
      <c r="C5295" s="8"/>
      <c r="D5295" s="8"/>
      <c r="E5295" s="39"/>
      <c r="F5295" s="40"/>
    </row>
    <row r="5296" spans="2:6">
      <c r="B5296" s="8"/>
      <c r="C5296" s="8"/>
      <c r="D5296" s="8"/>
      <c r="E5296" s="39"/>
      <c r="F5296" s="40"/>
    </row>
    <row r="5297" spans="2:6">
      <c r="B5297" s="8"/>
      <c r="C5297" s="8"/>
      <c r="D5297" s="8"/>
      <c r="E5297" s="39"/>
      <c r="F5297" s="40"/>
    </row>
    <row r="5298" spans="2:6">
      <c r="B5298" s="8"/>
      <c r="C5298" s="8"/>
      <c r="D5298" s="8"/>
      <c r="E5298" s="39"/>
      <c r="F5298" s="40"/>
    </row>
    <row r="5299" spans="2:6">
      <c r="B5299" s="8"/>
      <c r="C5299" s="8"/>
      <c r="D5299" s="8"/>
      <c r="E5299" s="39"/>
      <c r="F5299" s="40"/>
    </row>
    <row r="5300" spans="2:6">
      <c r="B5300" s="8"/>
      <c r="C5300" s="8"/>
      <c r="D5300" s="8"/>
      <c r="E5300" s="39"/>
      <c r="F5300" s="40"/>
    </row>
    <row r="5301" spans="2:6">
      <c r="B5301" s="8"/>
      <c r="C5301" s="8"/>
      <c r="D5301" s="8"/>
      <c r="E5301" s="39"/>
      <c r="F5301" s="40"/>
    </row>
    <row r="5302" spans="2:6">
      <c r="B5302" s="8"/>
      <c r="C5302" s="8"/>
      <c r="D5302" s="8"/>
      <c r="E5302" s="39"/>
      <c r="F5302" s="40"/>
    </row>
    <row r="5303" spans="2:6">
      <c r="B5303" s="8"/>
      <c r="C5303" s="8"/>
      <c r="D5303" s="8"/>
      <c r="E5303" s="39"/>
      <c r="F5303" s="40"/>
    </row>
    <row r="5304" spans="2:6">
      <c r="B5304" s="8"/>
      <c r="C5304" s="8"/>
      <c r="D5304" s="8"/>
      <c r="E5304" s="39"/>
      <c r="F5304" s="40"/>
    </row>
    <row r="5305" spans="2:6">
      <c r="B5305" s="8"/>
      <c r="C5305" s="8"/>
      <c r="D5305" s="8"/>
      <c r="E5305" s="39"/>
      <c r="F5305" s="40"/>
    </row>
    <row r="5306" spans="2:6">
      <c r="B5306" s="8"/>
      <c r="C5306" s="8"/>
      <c r="D5306" s="8"/>
      <c r="E5306" s="39"/>
      <c r="F5306" s="40"/>
    </row>
    <row r="5307" spans="2:6">
      <c r="B5307" s="8"/>
      <c r="C5307" s="8"/>
      <c r="D5307" s="8"/>
      <c r="E5307" s="39"/>
      <c r="F5307" s="40"/>
    </row>
    <row r="5308" spans="2:6">
      <c r="B5308" s="8"/>
      <c r="C5308" s="8"/>
      <c r="D5308" s="8"/>
      <c r="E5308" s="39"/>
      <c r="F5308" s="40"/>
    </row>
    <row r="5309" spans="2:6">
      <c r="B5309" s="8"/>
      <c r="C5309" s="8"/>
      <c r="D5309" s="8"/>
      <c r="E5309" s="39"/>
      <c r="F5309" s="40"/>
    </row>
    <row r="5310" spans="2:6">
      <c r="B5310" s="8"/>
      <c r="C5310" s="8"/>
      <c r="D5310" s="8"/>
      <c r="E5310" s="39"/>
      <c r="F5310" s="40"/>
    </row>
    <row r="5311" spans="2:6">
      <c r="B5311" s="8"/>
      <c r="C5311" s="8"/>
      <c r="D5311" s="8"/>
      <c r="E5311" s="39"/>
      <c r="F5311" s="40"/>
    </row>
    <row r="5312" spans="2:6">
      <c r="B5312" s="8"/>
      <c r="C5312" s="8"/>
      <c r="D5312" s="8"/>
      <c r="E5312" s="39"/>
      <c r="F5312" s="40"/>
    </row>
    <row r="5313" spans="2:6">
      <c r="B5313" s="8"/>
      <c r="C5313" s="8"/>
      <c r="D5313" s="8"/>
      <c r="E5313" s="39"/>
      <c r="F5313" s="40"/>
    </row>
    <row r="5314" spans="2:6">
      <c r="B5314" s="8"/>
      <c r="C5314" s="8"/>
      <c r="D5314" s="8"/>
      <c r="E5314" s="39"/>
      <c r="F5314" s="40"/>
    </row>
    <row r="5315" spans="2:6">
      <c r="B5315" s="8"/>
      <c r="C5315" s="8"/>
      <c r="D5315" s="8"/>
      <c r="E5315" s="39"/>
      <c r="F5315" s="40"/>
    </row>
    <row r="5316" spans="2:6">
      <c r="B5316" s="8"/>
      <c r="C5316" s="8"/>
      <c r="D5316" s="8"/>
      <c r="E5316" s="39"/>
      <c r="F5316" s="40"/>
    </row>
    <row r="5317" spans="2:6">
      <c r="B5317" s="8"/>
      <c r="C5317" s="8"/>
      <c r="D5317" s="8"/>
      <c r="E5317" s="39"/>
      <c r="F5317" s="40"/>
    </row>
    <row r="5318" spans="2:6">
      <c r="B5318" s="8"/>
      <c r="C5318" s="8"/>
      <c r="D5318" s="8"/>
      <c r="E5318" s="39"/>
      <c r="F5318" s="40"/>
    </row>
    <row r="5319" spans="2:6">
      <c r="B5319" s="8"/>
      <c r="C5319" s="8"/>
      <c r="D5319" s="8"/>
      <c r="E5319" s="39"/>
      <c r="F5319" s="40"/>
    </row>
    <row r="5320" spans="2:6">
      <c r="B5320" s="8"/>
      <c r="C5320" s="8"/>
      <c r="D5320" s="8"/>
      <c r="E5320" s="39"/>
      <c r="F5320" s="40"/>
    </row>
    <row r="5321" spans="2:6">
      <c r="B5321" s="8"/>
      <c r="C5321" s="8"/>
      <c r="D5321" s="8"/>
      <c r="E5321" s="39"/>
      <c r="F5321" s="40"/>
    </row>
    <row r="5322" spans="2:6">
      <c r="B5322" s="8"/>
      <c r="C5322" s="8"/>
      <c r="D5322" s="8"/>
      <c r="E5322" s="39"/>
      <c r="F5322" s="40"/>
    </row>
    <row r="5323" spans="2:6">
      <c r="B5323" s="8"/>
      <c r="C5323" s="8"/>
      <c r="D5323" s="8"/>
      <c r="E5323" s="39"/>
      <c r="F5323" s="40"/>
    </row>
    <row r="5324" spans="2:6">
      <c r="B5324" s="8"/>
      <c r="C5324" s="8"/>
      <c r="D5324" s="8"/>
      <c r="E5324" s="39"/>
      <c r="F5324" s="40"/>
    </row>
    <row r="5325" spans="2:6">
      <c r="B5325" s="8"/>
      <c r="C5325" s="8"/>
      <c r="D5325" s="8"/>
      <c r="E5325" s="39"/>
      <c r="F5325" s="40"/>
    </row>
    <row r="5326" spans="2:6">
      <c r="B5326" s="8"/>
      <c r="C5326" s="8"/>
      <c r="D5326" s="8"/>
      <c r="E5326" s="39"/>
      <c r="F5326" s="40"/>
    </row>
    <row r="5327" spans="2:6">
      <c r="B5327" s="8"/>
      <c r="C5327" s="8"/>
      <c r="D5327" s="8"/>
      <c r="E5327" s="39"/>
      <c r="F5327" s="40"/>
    </row>
    <row r="5328" spans="2:6">
      <c r="B5328" s="8"/>
      <c r="C5328" s="8"/>
      <c r="D5328" s="8"/>
      <c r="E5328" s="39"/>
      <c r="F5328" s="40"/>
    </row>
    <row r="5329" spans="2:6">
      <c r="B5329" s="8"/>
      <c r="C5329" s="8"/>
      <c r="D5329" s="8"/>
      <c r="E5329" s="39"/>
      <c r="F5329" s="40"/>
    </row>
    <row r="5330" spans="2:6">
      <c r="B5330" s="8"/>
      <c r="C5330" s="8"/>
      <c r="D5330" s="8"/>
      <c r="E5330" s="39"/>
      <c r="F5330" s="40"/>
    </row>
    <row r="5331" spans="2:6">
      <c r="B5331" s="8"/>
      <c r="C5331" s="8"/>
      <c r="D5331" s="8"/>
      <c r="E5331" s="39"/>
      <c r="F5331" s="40"/>
    </row>
    <row r="5332" spans="2:6">
      <c r="B5332" s="8"/>
      <c r="C5332" s="8"/>
      <c r="D5332" s="8"/>
      <c r="E5332" s="39"/>
      <c r="F5332" s="40"/>
    </row>
    <row r="5333" spans="2:6">
      <c r="B5333" s="8"/>
      <c r="C5333" s="8"/>
      <c r="D5333" s="8"/>
      <c r="E5333" s="39"/>
      <c r="F5333" s="40"/>
    </row>
    <row r="5334" spans="2:6">
      <c r="B5334" s="8"/>
      <c r="C5334" s="8"/>
      <c r="D5334" s="8"/>
      <c r="E5334" s="39"/>
      <c r="F5334" s="40"/>
    </row>
    <row r="5335" spans="2:6">
      <c r="B5335" s="8"/>
      <c r="C5335" s="8"/>
      <c r="D5335" s="8"/>
      <c r="E5335" s="39"/>
      <c r="F5335" s="40"/>
    </row>
    <row r="5336" spans="2:6">
      <c r="B5336" s="8"/>
      <c r="C5336" s="8"/>
      <c r="D5336" s="8"/>
      <c r="E5336" s="39"/>
      <c r="F5336" s="40"/>
    </row>
    <row r="5337" spans="2:6">
      <c r="B5337" s="8"/>
      <c r="C5337" s="8"/>
      <c r="D5337" s="8"/>
      <c r="E5337" s="39"/>
      <c r="F5337" s="40"/>
    </row>
    <row r="5338" spans="2:6">
      <c r="B5338" s="8"/>
      <c r="C5338" s="8"/>
      <c r="D5338" s="8"/>
      <c r="E5338" s="39"/>
      <c r="F5338" s="40"/>
    </row>
    <row r="5339" spans="2:6">
      <c r="B5339" s="8"/>
      <c r="C5339" s="8"/>
      <c r="D5339" s="8"/>
      <c r="E5339" s="39"/>
      <c r="F5339" s="40"/>
    </row>
    <row r="5340" spans="2:6">
      <c r="B5340" s="8"/>
      <c r="C5340" s="8"/>
      <c r="D5340" s="8"/>
      <c r="E5340" s="39"/>
      <c r="F5340" s="40"/>
    </row>
    <row r="5341" spans="2:6">
      <c r="B5341" s="8"/>
      <c r="C5341" s="8"/>
      <c r="D5341" s="8"/>
      <c r="E5341" s="39"/>
      <c r="F5341" s="40"/>
    </row>
    <row r="5342" spans="2:6">
      <c r="B5342" s="8"/>
      <c r="C5342" s="8"/>
      <c r="D5342" s="8"/>
      <c r="E5342" s="39"/>
      <c r="F5342" s="40"/>
    </row>
    <row r="5343" spans="2:6">
      <c r="B5343" s="8"/>
      <c r="C5343" s="8"/>
      <c r="D5343" s="8"/>
      <c r="E5343" s="39"/>
      <c r="F5343" s="40"/>
    </row>
    <row r="5344" spans="2:6">
      <c r="B5344" s="8"/>
      <c r="C5344" s="8"/>
      <c r="D5344" s="8"/>
      <c r="E5344" s="39"/>
      <c r="F5344" s="40"/>
    </row>
    <row r="5345" spans="2:6">
      <c r="B5345" s="8"/>
      <c r="C5345" s="8"/>
      <c r="D5345" s="8"/>
      <c r="E5345" s="39"/>
      <c r="F5345" s="40"/>
    </row>
    <row r="5346" spans="2:6">
      <c r="B5346" s="8"/>
      <c r="C5346" s="8"/>
      <c r="D5346" s="8"/>
      <c r="E5346" s="39"/>
      <c r="F5346" s="40"/>
    </row>
    <row r="5347" spans="2:6">
      <c r="B5347" s="8"/>
      <c r="C5347" s="8"/>
      <c r="D5347" s="8"/>
      <c r="E5347" s="39"/>
      <c r="F5347" s="40"/>
    </row>
    <row r="5348" spans="2:6">
      <c r="B5348" s="8"/>
      <c r="C5348" s="8"/>
      <c r="D5348" s="8"/>
      <c r="E5348" s="39"/>
      <c r="F5348" s="40"/>
    </row>
    <row r="5349" spans="2:6">
      <c r="B5349" s="8"/>
      <c r="C5349" s="8"/>
      <c r="D5349" s="8"/>
      <c r="E5349" s="39"/>
      <c r="F5349" s="40"/>
    </row>
    <row r="5350" spans="2:6">
      <c r="B5350" s="8"/>
      <c r="C5350" s="8"/>
      <c r="D5350" s="8"/>
      <c r="E5350" s="39"/>
      <c r="F5350" s="40"/>
    </row>
    <row r="5351" spans="2:6">
      <c r="B5351" s="8"/>
      <c r="C5351" s="8"/>
      <c r="D5351" s="8"/>
      <c r="E5351" s="39"/>
      <c r="F5351" s="40"/>
    </row>
    <row r="5352" spans="2:6">
      <c r="B5352" s="8"/>
      <c r="C5352" s="8"/>
      <c r="D5352" s="8"/>
      <c r="E5352" s="39"/>
      <c r="F5352" s="40"/>
    </row>
    <row r="5353" spans="2:6">
      <c r="B5353" s="8"/>
      <c r="C5353" s="8"/>
      <c r="D5353" s="8"/>
      <c r="E5353" s="39"/>
      <c r="F5353" s="40"/>
    </row>
    <row r="5354" spans="2:6">
      <c r="B5354" s="8"/>
      <c r="C5354" s="8"/>
      <c r="D5354" s="8"/>
      <c r="E5354" s="39"/>
      <c r="F5354" s="40"/>
    </row>
    <row r="5355" spans="2:6">
      <c r="B5355" s="8"/>
      <c r="C5355" s="8"/>
      <c r="D5355" s="8"/>
      <c r="E5355" s="39"/>
      <c r="F5355" s="40"/>
    </row>
    <row r="5356" spans="2:6">
      <c r="B5356" s="8"/>
      <c r="C5356" s="8"/>
      <c r="D5356" s="8"/>
      <c r="E5356" s="39"/>
      <c r="F5356" s="40"/>
    </row>
    <row r="5357" spans="2:6">
      <c r="B5357" s="8"/>
      <c r="C5357" s="8"/>
      <c r="D5357" s="8"/>
      <c r="E5357" s="39"/>
      <c r="F5357" s="40"/>
    </row>
    <row r="5358" spans="2:6">
      <c r="B5358" s="8"/>
      <c r="C5358" s="8"/>
      <c r="D5358" s="8"/>
      <c r="E5358" s="39"/>
      <c r="F5358" s="40"/>
    </row>
    <row r="5359" spans="2:6">
      <c r="B5359" s="8"/>
      <c r="C5359" s="8"/>
      <c r="D5359" s="8"/>
      <c r="E5359" s="39"/>
      <c r="F5359" s="40"/>
    </row>
    <row r="5360" spans="2:6">
      <c r="B5360" s="8"/>
      <c r="C5360" s="8"/>
      <c r="D5360" s="8"/>
      <c r="E5360" s="39"/>
      <c r="F5360" s="40"/>
    </row>
    <row r="5361" spans="2:6">
      <c r="B5361" s="8"/>
      <c r="C5361" s="8"/>
      <c r="D5361" s="8"/>
      <c r="E5361" s="39"/>
      <c r="F5361" s="40"/>
    </row>
    <row r="5362" spans="2:6">
      <c r="B5362" s="8"/>
      <c r="C5362" s="8"/>
      <c r="D5362" s="8"/>
      <c r="E5362" s="39"/>
      <c r="F5362" s="40"/>
    </row>
    <row r="5363" spans="2:6">
      <c r="B5363" s="8"/>
      <c r="C5363" s="8"/>
      <c r="D5363" s="8"/>
      <c r="E5363" s="39"/>
      <c r="F5363" s="40"/>
    </row>
    <row r="5364" spans="2:6">
      <c r="B5364" s="8"/>
      <c r="C5364" s="8"/>
      <c r="D5364" s="8"/>
      <c r="E5364" s="39"/>
      <c r="F5364" s="40"/>
    </row>
    <row r="5365" spans="2:6">
      <c r="B5365" s="8"/>
      <c r="C5365" s="8"/>
      <c r="D5365" s="8"/>
      <c r="E5365" s="39"/>
      <c r="F5365" s="40"/>
    </row>
    <row r="5366" spans="2:6">
      <c r="B5366" s="8"/>
      <c r="C5366" s="8"/>
      <c r="D5366" s="8"/>
      <c r="E5366" s="39"/>
      <c r="F5366" s="40"/>
    </row>
    <row r="5367" spans="2:6">
      <c r="B5367" s="8"/>
      <c r="C5367" s="8"/>
      <c r="D5367" s="8"/>
      <c r="E5367" s="39"/>
      <c r="F5367" s="40"/>
    </row>
    <row r="5368" spans="2:6">
      <c r="B5368" s="8"/>
      <c r="C5368" s="8"/>
      <c r="D5368" s="8"/>
      <c r="E5368" s="39"/>
      <c r="F5368" s="40"/>
    </row>
    <row r="5369" spans="2:6">
      <c r="B5369" s="8"/>
      <c r="C5369" s="8"/>
      <c r="D5369" s="8"/>
      <c r="E5369" s="39"/>
      <c r="F5369" s="40"/>
    </row>
    <row r="5370" spans="2:6">
      <c r="B5370" s="8"/>
      <c r="C5370" s="8"/>
      <c r="D5370" s="8"/>
      <c r="E5370" s="39"/>
      <c r="F5370" s="40"/>
    </row>
    <row r="5371" spans="2:6">
      <c r="B5371" s="8"/>
      <c r="C5371" s="8"/>
      <c r="D5371" s="8"/>
      <c r="E5371" s="39"/>
      <c r="F5371" s="40"/>
    </row>
    <row r="5372" spans="2:6">
      <c r="B5372" s="8"/>
      <c r="C5372" s="8"/>
      <c r="D5372" s="8"/>
      <c r="E5372" s="39"/>
      <c r="F5372" s="40"/>
    </row>
    <row r="5373" spans="2:6">
      <c r="B5373" s="8"/>
      <c r="C5373" s="8"/>
      <c r="D5373" s="8"/>
      <c r="E5373" s="39"/>
      <c r="F5373" s="40"/>
    </row>
    <row r="5374" spans="2:6">
      <c r="B5374" s="8"/>
      <c r="C5374" s="8"/>
      <c r="D5374" s="8"/>
      <c r="E5374" s="39"/>
      <c r="F5374" s="40"/>
    </row>
    <row r="5375" spans="2:6">
      <c r="B5375" s="8"/>
      <c r="C5375" s="8"/>
      <c r="D5375" s="8"/>
      <c r="E5375" s="39"/>
      <c r="F5375" s="40"/>
    </row>
    <row r="5376" spans="2:6">
      <c r="B5376" s="8"/>
      <c r="C5376" s="8"/>
      <c r="D5376" s="8"/>
      <c r="E5376" s="39"/>
      <c r="F5376" s="40"/>
    </row>
    <row r="5377" spans="2:6">
      <c r="B5377" s="8"/>
      <c r="C5377" s="8"/>
      <c r="D5377" s="8"/>
      <c r="E5377" s="39"/>
      <c r="F5377" s="40"/>
    </row>
    <row r="5378" spans="2:6">
      <c r="B5378" s="8"/>
      <c r="C5378" s="8"/>
      <c r="D5378" s="8"/>
      <c r="E5378" s="39"/>
      <c r="F5378" s="40"/>
    </row>
    <row r="5379" spans="2:6">
      <c r="B5379" s="8"/>
      <c r="C5379" s="8"/>
      <c r="D5379" s="8"/>
      <c r="E5379" s="39"/>
      <c r="F5379" s="40"/>
    </row>
    <row r="5380" spans="2:6">
      <c r="B5380" s="8"/>
      <c r="C5380" s="8"/>
      <c r="D5380" s="8"/>
      <c r="E5380" s="39"/>
      <c r="F5380" s="40"/>
    </row>
    <row r="5381" spans="2:6">
      <c r="B5381" s="8"/>
      <c r="C5381" s="8"/>
      <c r="D5381" s="8"/>
      <c r="E5381" s="39"/>
      <c r="F5381" s="40"/>
    </row>
    <row r="5382" spans="2:6">
      <c r="B5382" s="8"/>
      <c r="C5382" s="8"/>
      <c r="D5382" s="8"/>
      <c r="E5382" s="39"/>
      <c r="F5382" s="40"/>
    </row>
    <row r="5383" spans="2:6">
      <c r="B5383" s="8"/>
      <c r="C5383" s="8"/>
      <c r="D5383" s="8"/>
      <c r="E5383" s="39"/>
      <c r="F5383" s="40"/>
    </row>
    <row r="5384" spans="2:6">
      <c r="B5384" s="8"/>
      <c r="C5384" s="8"/>
      <c r="D5384" s="8"/>
      <c r="E5384" s="39"/>
      <c r="F5384" s="40"/>
    </row>
    <row r="5385" spans="2:6">
      <c r="B5385" s="8"/>
      <c r="C5385" s="8"/>
      <c r="D5385" s="8"/>
      <c r="E5385" s="39"/>
      <c r="F5385" s="40"/>
    </row>
    <row r="5386" spans="2:6">
      <c r="B5386" s="8"/>
      <c r="C5386" s="8"/>
      <c r="D5386" s="8"/>
      <c r="E5386" s="39"/>
      <c r="F5386" s="40"/>
    </row>
    <row r="5387" spans="2:6">
      <c r="B5387" s="8"/>
      <c r="C5387" s="8"/>
      <c r="D5387" s="8"/>
      <c r="E5387" s="39"/>
      <c r="F5387" s="40"/>
    </row>
    <row r="5388" spans="2:6">
      <c r="B5388" s="8"/>
      <c r="C5388" s="8"/>
      <c r="D5388" s="8"/>
      <c r="E5388" s="39"/>
      <c r="F5388" s="40"/>
    </row>
    <row r="5389" spans="2:6">
      <c r="B5389" s="8"/>
      <c r="C5389" s="8"/>
      <c r="D5389" s="8"/>
      <c r="E5389" s="39"/>
      <c r="F5389" s="40"/>
    </row>
    <row r="5390" spans="2:6">
      <c r="B5390" s="8"/>
      <c r="C5390" s="8"/>
      <c r="D5390" s="8"/>
      <c r="E5390" s="39"/>
      <c r="F5390" s="40"/>
    </row>
    <row r="5391" spans="2:6">
      <c r="B5391" s="8"/>
      <c r="C5391" s="8"/>
      <c r="D5391" s="8"/>
      <c r="E5391" s="39"/>
      <c r="F5391" s="40"/>
    </row>
    <row r="5392" spans="2:6">
      <c r="B5392" s="8"/>
      <c r="C5392" s="8"/>
      <c r="D5392" s="8"/>
      <c r="E5392" s="39"/>
      <c r="F5392" s="40"/>
    </row>
    <row r="5393" spans="2:6">
      <c r="B5393" s="8"/>
      <c r="C5393" s="8"/>
      <c r="D5393" s="8"/>
      <c r="E5393" s="39"/>
      <c r="F5393" s="40"/>
    </row>
    <row r="5394" spans="2:6">
      <c r="B5394" s="8"/>
      <c r="C5394" s="8"/>
      <c r="D5394" s="8"/>
      <c r="E5394" s="39"/>
      <c r="F5394" s="40"/>
    </row>
    <row r="5395" spans="2:6">
      <c r="B5395" s="8"/>
      <c r="C5395" s="8"/>
      <c r="D5395" s="8"/>
      <c r="E5395" s="39"/>
      <c r="F5395" s="40"/>
    </row>
    <row r="5396" spans="2:6">
      <c r="B5396" s="8"/>
      <c r="C5396" s="8"/>
      <c r="D5396" s="8"/>
      <c r="E5396" s="39"/>
      <c r="F5396" s="40"/>
    </row>
    <row r="5397" spans="2:6">
      <c r="B5397" s="8"/>
      <c r="C5397" s="8"/>
      <c r="D5397" s="8"/>
      <c r="E5397" s="39"/>
      <c r="F5397" s="40"/>
    </row>
    <row r="5398" spans="2:6">
      <c r="B5398" s="8"/>
      <c r="C5398" s="8"/>
      <c r="D5398" s="8"/>
      <c r="E5398" s="39"/>
      <c r="F5398" s="40"/>
    </row>
    <row r="5399" spans="2:6">
      <c r="B5399" s="8"/>
      <c r="C5399" s="8"/>
      <c r="D5399" s="8"/>
      <c r="E5399" s="39"/>
      <c r="F5399" s="40"/>
    </row>
    <row r="5400" spans="2:6">
      <c r="B5400" s="8"/>
      <c r="C5400" s="8"/>
      <c r="D5400" s="8"/>
      <c r="E5400" s="39"/>
      <c r="F5400" s="40"/>
    </row>
    <row r="5401" spans="2:6">
      <c r="B5401" s="8"/>
      <c r="C5401" s="8"/>
      <c r="D5401" s="8"/>
      <c r="E5401" s="39"/>
      <c r="F5401" s="40"/>
    </row>
    <row r="5402" spans="2:6">
      <c r="B5402" s="8"/>
      <c r="C5402" s="8"/>
      <c r="D5402" s="8"/>
      <c r="E5402" s="39"/>
      <c r="F5402" s="40"/>
    </row>
    <row r="5403" spans="2:6">
      <c r="B5403" s="8"/>
      <c r="C5403" s="8"/>
      <c r="D5403" s="8"/>
      <c r="E5403" s="39"/>
      <c r="F5403" s="40"/>
    </row>
    <row r="5404" spans="2:6">
      <c r="B5404" s="8"/>
      <c r="C5404" s="8"/>
      <c r="D5404" s="8"/>
      <c r="E5404" s="39"/>
      <c r="F5404" s="40"/>
    </row>
    <row r="5405" spans="2:6">
      <c r="B5405" s="8"/>
      <c r="C5405" s="8"/>
      <c r="D5405" s="8"/>
      <c r="E5405" s="39"/>
      <c r="F5405" s="40"/>
    </row>
    <row r="5406" spans="2:6">
      <c r="B5406" s="8"/>
      <c r="C5406" s="8"/>
      <c r="D5406" s="8"/>
      <c r="E5406" s="39"/>
      <c r="F5406" s="40"/>
    </row>
    <row r="5407" spans="2:6">
      <c r="B5407" s="8"/>
      <c r="C5407" s="8"/>
      <c r="D5407" s="8"/>
      <c r="E5407" s="39"/>
      <c r="F5407" s="40"/>
    </row>
    <row r="5408" spans="2:6">
      <c r="B5408" s="8"/>
      <c r="C5408" s="8"/>
      <c r="D5408" s="8"/>
      <c r="E5408" s="39"/>
      <c r="F5408" s="40"/>
    </row>
    <row r="5409" spans="2:6">
      <c r="B5409" s="8"/>
      <c r="C5409" s="8"/>
      <c r="D5409" s="8"/>
      <c r="E5409" s="39"/>
      <c r="F5409" s="40"/>
    </row>
    <row r="5410" spans="2:6">
      <c r="B5410" s="8"/>
      <c r="C5410" s="8"/>
      <c r="D5410" s="8"/>
      <c r="E5410" s="39"/>
      <c r="F5410" s="40"/>
    </row>
    <row r="5411" spans="2:6">
      <c r="B5411" s="8"/>
      <c r="C5411" s="8"/>
      <c r="D5411" s="8"/>
      <c r="E5411" s="39"/>
      <c r="F5411" s="40"/>
    </row>
    <row r="5412" spans="2:6">
      <c r="B5412" s="8"/>
      <c r="C5412" s="8"/>
      <c r="D5412" s="8"/>
      <c r="E5412" s="39"/>
      <c r="F5412" s="40"/>
    </row>
    <row r="5413" spans="2:6">
      <c r="B5413" s="8"/>
      <c r="C5413" s="8"/>
      <c r="D5413" s="8"/>
      <c r="E5413" s="39"/>
      <c r="F5413" s="40"/>
    </row>
    <row r="5414" spans="2:6">
      <c r="B5414" s="8"/>
      <c r="C5414" s="8"/>
      <c r="D5414" s="8"/>
      <c r="E5414" s="39"/>
      <c r="F5414" s="40"/>
    </row>
    <row r="5415" spans="2:6">
      <c r="B5415" s="8"/>
      <c r="C5415" s="8"/>
      <c r="D5415" s="8"/>
      <c r="E5415" s="39"/>
      <c r="F5415" s="40"/>
    </row>
    <row r="5416" spans="2:6">
      <c r="B5416" s="8"/>
      <c r="C5416" s="8"/>
      <c r="D5416" s="8"/>
      <c r="E5416" s="39"/>
      <c r="F5416" s="40"/>
    </row>
    <row r="5417" spans="2:6">
      <c r="B5417" s="8"/>
      <c r="C5417" s="8"/>
      <c r="D5417" s="8"/>
      <c r="E5417" s="39"/>
      <c r="F5417" s="40"/>
    </row>
    <row r="5418" spans="2:6">
      <c r="B5418" s="8"/>
      <c r="C5418" s="8"/>
      <c r="D5418" s="8"/>
      <c r="E5418" s="39"/>
      <c r="F5418" s="40"/>
    </row>
    <row r="5419" spans="2:6">
      <c r="B5419" s="8"/>
      <c r="C5419" s="8"/>
      <c r="D5419" s="8"/>
      <c r="E5419" s="39"/>
      <c r="F5419" s="40"/>
    </row>
    <row r="5420" spans="2:6">
      <c r="B5420" s="8"/>
      <c r="C5420" s="8"/>
      <c r="D5420" s="8"/>
      <c r="E5420" s="39"/>
      <c r="F5420" s="40"/>
    </row>
    <row r="5421" spans="2:6">
      <c r="B5421" s="8"/>
      <c r="C5421" s="8"/>
      <c r="D5421" s="8"/>
      <c r="E5421" s="39"/>
      <c r="F5421" s="40"/>
    </row>
    <row r="5422" spans="2:6">
      <c r="B5422" s="8"/>
      <c r="C5422" s="8"/>
      <c r="D5422" s="8"/>
      <c r="E5422" s="39"/>
      <c r="F5422" s="40"/>
    </row>
    <row r="5423" spans="2:6">
      <c r="B5423" s="8"/>
      <c r="C5423" s="8"/>
      <c r="D5423" s="8"/>
      <c r="E5423" s="39"/>
      <c r="F5423" s="40"/>
    </row>
    <row r="5424" spans="2:6">
      <c r="B5424" s="8"/>
      <c r="C5424" s="8"/>
      <c r="D5424" s="8"/>
      <c r="E5424" s="39"/>
      <c r="F5424" s="40"/>
    </row>
    <row r="5425" spans="2:6">
      <c r="B5425" s="8"/>
      <c r="C5425" s="8"/>
      <c r="D5425" s="8"/>
      <c r="E5425" s="39"/>
      <c r="F5425" s="40"/>
    </row>
    <row r="5426" spans="2:6">
      <c r="B5426" s="8"/>
      <c r="C5426" s="8"/>
      <c r="D5426" s="8"/>
      <c r="E5426" s="39"/>
      <c r="F5426" s="40"/>
    </row>
    <row r="5427" spans="2:6">
      <c r="B5427" s="8"/>
      <c r="C5427" s="8"/>
      <c r="D5427" s="8"/>
      <c r="E5427" s="39"/>
      <c r="F5427" s="40"/>
    </row>
    <row r="5428" spans="2:6">
      <c r="B5428" s="8"/>
      <c r="C5428" s="8"/>
      <c r="D5428" s="8"/>
      <c r="E5428" s="39"/>
      <c r="F5428" s="40"/>
    </row>
    <row r="5429" spans="2:6">
      <c r="B5429" s="8"/>
      <c r="C5429" s="8"/>
      <c r="D5429" s="8"/>
      <c r="E5429" s="39"/>
      <c r="F5429" s="40"/>
    </row>
    <row r="5430" spans="2:6">
      <c r="B5430" s="8"/>
      <c r="C5430" s="8"/>
      <c r="D5430" s="8"/>
      <c r="E5430" s="39"/>
      <c r="F5430" s="40"/>
    </row>
    <row r="5431" spans="2:6">
      <c r="B5431" s="8"/>
      <c r="C5431" s="8"/>
      <c r="D5431" s="8"/>
      <c r="E5431" s="39"/>
      <c r="F5431" s="40"/>
    </row>
    <row r="5432" spans="2:6">
      <c r="B5432" s="8"/>
      <c r="C5432" s="8"/>
      <c r="D5432" s="8"/>
      <c r="E5432" s="39"/>
      <c r="F5432" s="40"/>
    </row>
    <row r="5433" spans="2:6">
      <c r="B5433" s="8"/>
      <c r="C5433" s="8"/>
      <c r="D5433" s="8"/>
      <c r="E5433" s="39"/>
      <c r="F5433" s="40"/>
    </row>
    <row r="5434" spans="2:6">
      <c r="B5434" s="8"/>
      <c r="C5434" s="8"/>
      <c r="D5434" s="8"/>
      <c r="E5434" s="39"/>
      <c r="F5434" s="40"/>
    </row>
    <row r="5435" spans="2:6">
      <c r="B5435" s="8"/>
      <c r="C5435" s="8"/>
      <c r="D5435" s="8"/>
      <c r="E5435" s="39"/>
      <c r="F5435" s="40"/>
    </row>
    <row r="5436" spans="2:6">
      <c r="B5436" s="8"/>
      <c r="C5436" s="8"/>
      <c r="D5436" s="8"/>
      <c r="E5436" s="39"/>
      <c r="F5436" s="40"/>
    </row>
    <row r="5437" spans="2:6">
      <c r="B5437" s="8"/>
      <c r="C5437" s="8"/>
      <c r="D5437" s="8"/>
      <c r="E5437" s="39"/>
      <c r="F5437" s="40"/>
    </row>
    <row r="5438" spans="2:6">
      <c r="B5438" s="8"/>
      <c r="C5438" s="8"/>
      <c r="D5438" s="8"/>
      <c r="E5438" s="39"/>
      <c r="F5438" s="40"/>
    </row>
    <row r="5439" spans="2:6">
      <c r="B5439" s="8"/>
      <c r="C5439" s="8"/>
      <c r="D5439" s="8"/>
      <c r="E5439" s="39"/>
      <c r="F5439" s="40"/>
    </row>
    <row r="5440" spans="2:6">
      <c r="B5440" s="8"/>
      <c r="C5440" s="8"/>
      <c r="D5440" s="8"/>
      <c r="E5440" s="39"/>
      <c r="F5440" s="40"/>
    </row>
    <row r="5441" spans="2:6">
      <c r="B5441" s="8"/>
      <c r="C5441" s="8"/>
      <c r="D5441" s="8"/>
      <c r="E5441" s="39"/>
      <c r="F5441" s="40"/>
    </row>
    <row r="5442" spans="2:6">
      <c r="B5442" s="8"/>
      <c r="C5442" s="8"/>
      <c r="D5442" s="8"/>
      <c r="E5442" s="39"/>
      <c r="F5442" s="40"/>
    </row>
    <row r="5443" spans="2:6">
      <c r="B5443" s="8"/>
      <c r="C5443" s="8"/>
      <c r="D5443" s="8"/>
      <c r="E5443" s="39"/>
      <c r="F5443" s="40"/>
    </row>
    <row r="5444" spans="2:6">
      <c r="B5444" s="8"/>
      <c r="C5444" s="8"/>
      <c r="D5444" s="8"/>
      <c r="E5444" s="39"/>
      <c r="F5444" s="40"/>
    </row>
    <row r="5445" spans="2:6">
      <c r="B5445" s="8"/>
      <c r="C5445" s="8"/>
      <c r="D5445" s="8"/>
      <c r="E5445" s="39"/>
      <c r="F5445" s="40"/>
    </row>
    <row r="5446" spans="2:6">
      <c r="B5446" s="8"/>
      <c r="C5446" s="8"/>
      <c r="D5446" s="8"/>
      <c r="E5446" s="39"/>
      <c r="F5446" s="40"/>
    </row>
    <row r="5447" spans="2:6">
      <c r="B5447" s="8"/>
      <c r="C5447" s="8"/>
      <c r="D5447" s="8"/>
      <c r="E5447" s="39"/>
      <c r="F5447" s="40"/>
    </row>
    <row r="5448" spans="2:6">
      <c r="B5448" s="8"/>
      <c r="C5448" s="8"/>
      <c r="D5448" s="8"/>
      <c r="E5448" s="39"/>
      <c r="F5448" s="40"/>
    </row>
    <row r="5449" spans="2:6">
      <c r="B5449" s="8"/>
      <c r="C5449" s="8"/>
      <c r="D5449" s="8"/>
      <c r="E5449" s="39"/>
      <c r="F5449" s="40"/>
    </row>
    <row r="5450" spans="2:6">
      <c r="B5450" s="8"/>
      <c r="C5450" s="8"/>
      <c r="D5450" s="8"/>
      <c r="E5450" s="39"/>
      <c r="F5450" s="40"/>
    </row>
    <row r="5451" spans="2:6">
      <c r="B5451" s="8"/>
      <c r="C5451" s="8"/>
      <c r="D5451" s="8"/>
      <c r="E5451" s="39"/>
      <c r="F5451" s="40"/>
    </row>
    <row r="5452" spans="2:6">
      <c r="B5452" s="8"/>
      <c r="C5452" s="8"/>
      <c r="D5452" s="8"/>
      <c r="E5452" s="39"/>
      <c r="F5452" s="40"/>
    </row>
    <row r="5453" spans="2:6">
      <c r="B5453" s="8"/>
      <c r="C5453" s="8"/>
      <c r="D5453" s="8"/>
      <c r="E5453" s="39"/>
      <c r="F5453" s="40"/>
    </row>
    <row r="5454" spans="2:6">
      <c r="B5454" s="8"/>
      <c r="C5454" s="8"/>
      <c r="D5454" s="8"/>
      <c r="E5454" s="39"/>
      <c r="F5454" s="40"/>
    </row>
    <row r="5455" spans="2:6">
      <c r="B5455" s="8"/>
      <c r="C5455" s="8"/>
      <c r="D5455" s="8"/>
      <c r="E5455" s="39"/>
      <c r="F5455" s="40"/>
    </row>
    <row r="5456" spans="2:6">
      <c r="B5456" s="8"/>
      <c r="C5456" s="8"/>
      <c r="D5456" s="8"/>
      <c r="E5456" s="39"/>
      <c r="F5456" s="40"/>
    </row>
    <row r="5457" spans="2:6">
      <c r="B5457" s="8"/>
      <c r="C5457" s="8"/>
      <c r="D5457" s="8"/>
      <c r="E5457" s="39"/>
      <c r="F5457" s="40"/>
    </row>
    <row r="5458" spans="2:6">
      <c r="B5458" s="8"/>
      <c r="C5458" s="8"/>
      <c r="D5458" s="8"/>
      <c r="E5458" s="39"/>
      <c r="F5458" s="40"/>
    </row>
    <row r="5459" spans="2:6">
      <c r="B5459" s="8"/>
      <c r="C5459" s="8"/>
      <c r="D5459" s="8"/>
      <c r="E5459" s="39"/>
      <c r="F5459" s="40"/>
    </row>
    <row r="5460" spans="2:6">
      <c r="B5460" s="8"/>
      <c r="C5460" s="8"/>
      <c r="D5460" s="8"/>
      <c r="E5460" s="39"/>
      <c r="F5460" s="40"/>
    </row>
    <row r="5461" spans="2:6">
      <c r="B5461" s="8"/>
      <c r="C5461" s="8"/>
      <c r="D5461" s="8"/>
      <c r="E5461" s="39"/>
      <c r="F5461" s="40"/>
    </row>
    <row r="5462" spans="2:6">
      <c r="B5462" s="8"/>
      <c r="C5462" s="8"/>
      <c r="D5462" s="8"/>
      <c r="E5462" s="39"/>
      <c r="F5462" s="40"/>
    </row>
    <row r="5463" spans="2:6">
      <c r="B5463" s="8"/>
      <c r="C5463" s="8"/>
      <c r="D5463" s="8"/>
      <c r="E5463" s="39"/>
      <c r="F5463" s="40"/>
    </row>
    <row r="5464" spans="2:6">
      <c r="B5464" s="8"/>
      <c r="C5464" s="8"/>
      <c r="D5464" s="8"/>
      <c r="E5464" s="39"/>
      <c r="F5464" s="40"/>
    </row>
    <row r="5465" spans="2:6">
      <c r="B5465" s="8"/>
      <c r="C5465" s="8"/>
      <c r="D5465" s="8"/>
      <c r="E5465" s="39"/>
      <c r="F5465" s="40"/>
    </row>
    <row r="5466" spans="2:6">
      <c r="B5466" s="8"/>
      <c r="C5466" s="8"/>
      <c r="D5466" s="8"/>
      <c r="E5466" s="39"/>
      <c r="F5466" s="40"/>
    </row>
    <row r="5467" spans="2:6">
      <c r="B5467" s="8"/>
      <c r="C5467" s="8"/>
      <c r="D5467" s="8"/>
      <c r="E5467" s="39"/>
      <c r="F5467" s="40"/>
    </row>
    <row r="5468" spans="2:6">
      <c r="B5468" s="8"/>
      <c r="C5468" s="8"/>
      <c r="D5468" s="8"/>
      <c r="E5468" s="39"/>
      <c r="F5468" s="40"/>
    </row>
    <row r="5469" spans="2:6">
      <c r="B5469" s="8"/>
      <c r="C5469" s="8"/>
      <c r="D5469" s="8"/>
      <c r="E5469" s="39"/>
      <c r="F5469" s="40"/>
    </row>
    <row r="5470" spans="2:6">
      <c r="B5470" s="8"/>
      <c r="C5470" s="8"/>
      <c r="D5470" s="8"/>
      <c r="E5470" s="39"/>
      <c r="F5470" s="40"/>
    </row>
    <row r="5471" spans="2:6">
      <c r="B5471" s="8"/>
      <c r="C5471" s="8"/>
      <c r="D5471" s="8"/>
      <c r="E5471" s="39"/>
      <c r="F5471" s="40"/>
    </row>
    <row r="5472" spans="2:6">
      <c r="B5472" s="8"/>
      <c r="C5472" s="8"/>
      <c r="D5472" s="8"/>
      <c r="E5472" s="39"/>
      <c r="F5472" s="40"/>
    </row>
    <row r="5473" spans="2:6">
      <c r="B5473" s="8"/>
      <c r="C5473" s="8"/>
      <c r="D5473" s="8"/>
      <c r="E5473" s="39"/>
      <c r="F5473" s="40"/>
    </row>
    <row r="5474" spans="2:6">
      <c r="B5474" s="8"/>
      <c r="C5474" s="8"/>
      <c r="D5474" s="8"/>
      <c r="E5474" s="39"/>
      <c r="F5474" s="40"/>
    </row>
    <row r="5475" spans="2:6">
      <c r="B5475" s="8"/>
      <c r="C5475" s="8"/>
      <c r="D5475" s="8"/>
      <c r="E5475" s="39"/>
      <c r="F5475" s="40"/>
    </row>
    <row r="5476" spans="2:6">
      <c r="B5476" s="8"/>
      <c r="C5476" s="8"/>
      <c r="D5476" s="8"/>
      <c r="E5476" s="39"/>
      <c r="F5476" s="40"/>
    </row>
    <row r="5477" spans="2:6">
      <c r="B5477" s="8"/>
      <c r="C5477" s="8"/>
      <c r="D5477" s="8"/>
      <c r="E5477" s="39"/>
      <c r="F5477" s="40"/>
    </row>
    <row r="5478" spans="2:6">
      <c r="B5478" s="8"/>
      <c r="C5478" s="8"/>
      <c r="D5478" s="8"/>
      <c r="E5478" s="39"/>
      <c r="F5478" s="40"/>
    </row>
    <row r="5479" spans="2:6">
      <c r="B5479" s="8"/>
      <c r="C5479" s="8"/>
      <c r="D5479" s="8"/>
      <c r="E5479" s="39"/>
      <c r="F5479" s="40"/>
    </row>
    <row r="5480" spans="2:6">
      <c r="B5480" s="8"/>
      <c r="C5480" s="8"/>
      <c r="D5480" s="8"/>
      <c r="E5480" s="39"/>
      <c r="F5480" s="40"/>
    </row>
    <row r="5481" spans="2:6">
      <c r="B5481" s="8"/>
      <c r="C5481" s="8"/>
      <c r="D5481" s="8"/>
      <c r="E5481" s="39"/>
      <c r="F5481" s="40"/>
    </row>
    <row r="5482" spans="2:6">
      <c r="B5482" s="8"/>
      <c r="C5482" s="8"/>
      <c r="D5482" s="8"/>
      <c r="E5482" s="39"/>
      <c r="F5482" s="40"/>
    </row>
    <row r="5483" spans="2:6">
      <c r="B5483" s="8"/>
      <c r="C5483" s="8"/>
      <c r="D5483" s="8"/>
      <c r="E5483" s="39"/>
      <c r="F5483" s="40"/>
    </row>
    <row r="5484" spans="2:6">
      <c r="B5484" s="8"/>
      <c r="C5484" s="8"/>
      <c r="D5484" s="8"/>
      <c r="E5484" s="39"/>
      <c r="F5484" s="40"/>
    </row>
    <row r="5485" spans="2:6">
      <c r="B5485" s="8"/>
      <c r="C5485" s="8"/>
      <c r="D5485" s="8"/>
      <c r="E5485" s="39"/>
      <c r="F5485" s="40"/>
    </row>
    <row r="5486" spans="2:6">
      <c r="B5486" s="8"/>
      <c r="C5486" s="8"/>
      <c r="D5486" s="8"/>
      <c r="E5486" s="39"/>
      <c r="F5486" s="40"/>
    </row>
    <row r="5487" spans="2:6">
      <c r="B5487" s="8"/>
      <c r="C5487" s="8"/>
      <c r="D5487" s="8"/>
      <c r="E5487" s="39"/>
      <c r="F5487" s="40"/>
    </row>
    <row r="5488" spans="2:6">
      <c r="B5488" s="8"/>
      <c r="C5488" s="8"/>
      <c r="D5488" s="8"/>
      <c r="E5488" s="39"/>
      <c r="F5488" s="40"/>
    </row>
    <row r="5489" spans="2:6">
      <c r="B5489" s="8"/>
      <c r="C5489" s="8"/>
      <c r="D5489" s="8"/>
      <c r="E5489" s="39"/>
      <c r="F5489" s="40"/>
    </row>
    <row r="5490" spans="2:6">
      <c r="B5490" s="8"/>
      <c r="C5490" s="8"/>
      <c r="D5490" s="8"/>
      <c r="E5490" s="39"/>
      <c r="F5490" s="40"/>
    </row>
    <row r="5491" spans="2:6">
      <c r="B5491" s="8"/>
      <c r="C5491" s="8"/>
      <c r="D5491" s="8"/>
      <c r="E5491" s="39"/>
      <c r="F5491" s="40"/>
    </row>
    <row r="5492" spans="2:6">
      <c r="B5492" s="8"/>
      <c r="C5492" s="8"/>
      <c r="D5492" s="8"/>
      <c r="E5492" s="39"/>
      <c r="F5492" s="40"/>
    </row>
    <row r="5493" spans="2:6">
      <c r="B5493" s="8"/>
      <c r="C5493" s="8"/>
      <c r="D5493" s="8"/>
      <c r="E5493" s="39"/>
      <c r="F5493" s="40"/>
    </row>
    <row r="5494" spans="2:6">
      <c r="B5494" s="8"/>
      <c r="C5494" s="8"/>
      <c r="D5494" s="8"/>
      <c r="E5494" s="39"/>
      <c r="F5494" s="40"/>
    </row>
    <row r="5495" spans="2:6">
      <c r="B5495" s="8"/>
      <c r="C5495" s="8"/>
      <c r="D5495" s="8"/>
      <c r="E5495" s="39"/>
      <c r="F5495" s="40"/>
    </row>
    <row r="5496" spans="2:6">
      <c r="B5496" s="8"/>
      <c r="C5496" s="8"/>
      <c r="D5496" s="8"/>
      <c r="E5496" s="39"/>
      <c r="F5496" s="40"/>
    </row>
    <row r="5497" spans="2:6">
      <c r="B5497" s="8"/>
      <c r="C5497" s="8"/>
      <c r="D5497" s="8"/>
      <c r="E5497" s="39"/>
      <c r="F5497" s="40"/>
    </row>
    <row r="5498" spans="2:6">
      <c r="B5498" s="8"/>
      <c r="C5498" s="8"/>
      <c r="D5498" s="8"/>
      <c r="E5498" s="39"/>
      <c r="F5498" s="40"/>
    </row>
    <row r="5499" spans="2:6">
      <c r="B5499" s="8"/>
      <c r="C5499" s="8"/>
      <c r="D5499" s="8"/>
      <c r="E5499" s="39"/>
      <c r="F5499" s="40"/>
    </row>
    <row r="5500" spans="2:6">
      <c r="B5500" s="8"/>
      <c r="C5500" s="8"/>
      <c r="D5500" s="8"/>
      <c r="E5500" s="39"/>
      <c r="F5500" s="40"/>
    </row>
    <row r="5501" spans="2:6">
      <c r="B5501" s="8"/>
      <c r="C5501" s="8"/>
      <c r="D5501" s="8"/>
      <c r="E5501" s="39"/>
      <c r="F5501" s="40"/>
    </row>
    <row r="5502" spans="2:6">
      <c r="B5502" s="8"/>
      <c r="C5502" s="8"/>
      <c r="D5502" s="8"/>
      <c r="E5502" s="39"/>
      <c r="F5502" s="40"/>
    </row>
    <row r="5503" spans="2:6">
      <c r="B5503" s="8"/>
      <c r="C5503" s="8"/>
      <c r="D5503" s="8"/>
      <c r="E5503" s="39"/>
      <c r="F5503" s="40"/>
    </row>
    <row r="5504" spans="2:6">
      <c r="B5504" s="8"/>
      <c r="C5504" s="8"/>
      <c r="D5504" s="8"/>
      <c r="E5504" s="39"/>
      <c r="F5504" s="40"/>
    </row>
    <row r="5505" spans="2:6">
      <c r="B5505" s="8"/>
      <c r="C5505" s="8"/>
      <c r="D5505" s="8"/>
      <c r="E5505" s="39"/>
      <c r="F5505" s="40"/>
    </row>
    <row r="5506" spans="2:6">
      <c r="B5506" s="8"/>
      <c r="C5506" s="8"/>
      <c r="D5506" s="8"/>
      <c r="E5506" s="39"/>
      <c r="F5506" s="40"/>
    </row>
    <row r="5507" spans="2:6">
      <c r="B5507" s="8"/>
      <c r="C5507" s="8"/>
      <c r="D5507" s="8"/>
      <c r="E5507" s="39"/>
      <c r="F5507" s="40"/>
    </row>
    <row r="5508" spans="2:6">
      <c r="B5508" s="8"/>
      <c r="C5508" s="8"/>
      <c r="D5508" s="8"/>
      <c r="E5508" s="39"/>
      <c r="F5508" s="40"/>
    </row>
    <row r="5509" spans="2:6">
      <c r="B5509" s="8"/>
      <c r="C5509" s="8"/>
      <c r="D5509" s="8"/>
      <c r="E5509" s="39"/>
      <c r="F5509" s="40"/>
    </row>
    <row r="5510" spans="2:6">
      <c r="B5510" s="8"/>
      <c r="C5510" s="8"/>
      <c r="D5510" s="8"/>
      <c r="E5510" s="39"/>
      <c r="F5510" s="40"/>
    </row>
    <row r="5511" spans="2:6">
      <c r="B5511" s="8"/>
      <c r="C5511" s="8"/>
      <c r="D5511" s="8"/>
      <c r="E5511" s="39"/>
      <c r="F5511" s="40"/>
    </row>
    <row r="5512" spans="2:6">
      <c r="B5512" s="8"/>
      <c r="C5512" s="8"/>
      <c r="D5512" s="8"/>
      <c r="E5512" s="39"/>
      <c r="F5512" s="40"/>
    </row>
    <row r="5513" spans="2:6">
      <c r="B5513" s="8"/>
      <c r="C5513" s="8"/>
      <c r="D5513" s="8"/>
      <c r="E5513" s="39"/>
      <c r="F5513" s="40"/>
    </row>
    <row r="5514" spans="2:6">
      <c r="B5514" s="8"/>
      <c r="C5514" s="8"/>
      <c r="D5514" s="8"/>
      <c r="E5514" s="39"/>
      <c r="F5514" s="40"/>
    </row>
    <row r="5515" spans="2:6">
      <c r="B5515" s="8"/>
      <c r="C5515" s="8"/>
      <c r="D5515" s="8"/>
      <c r="E5515" s="39"/>
      <c r="F5515" s="40"/>
    </row>
    <row r="5516" spans="2:6">
      <c r="B5516" s="8"/>
      <c r="C5516" s="8"/>
      <c r="D5516" s="8"/>
      <c r="E5516" s="39"/>
      <c r="F5516" s="40"/>
    </row>
    <row r="5517" spans="2:6">
      <c r="B5517" s="8"/>
      <c r="C5517" s="8"/>
      <c r="D5517" s="8"/>
      <c r="E5517" s="39"/>
      <c r="F5517" s="40"/>
    </row>
    <row r="5518" spans="2:6">
      <c r="B5518" s="8"/>
      <c r="C5518" s="8"/>
      <c r="D5518" s="8"/>
      <c r="E5518" s="39"/>
      <c r="F5518" s="40"/>
    </row>
    <row r="5519" spans="2:6">
      <c r="B5519" s="8"/>
      <c r="C5519" s="8"/>
      <c r="D5519" s="8"/>
      <c r="E5519" s="39"/>
      <c r="F5519" s="40"/>
    </row>
    <row r="5520" spans="2:6">
      <c r="B5520" s="8"/>
      <c r="C5520" s="8"/>
      <c r="D5520" s="8"/>
      <c r="E5520" s="39"/>
      <c r="F5520" s="40"/>
    </row>
    <row r="5521" spans="2:6">
      <c r="B5521" s="8"/>
      <c r="C5521" s="8"/>
      <c r="D5521" s="8"/>
      <c r="E5521" s="39"/>
      <c r="F5521" s="40"/>
    </row>
    <row r="5522" spans="2:6">
      <c r="B5522" s="8"/>
      <c r="C5522" s="8"/>
      <c r="D5522" s="8"/>
      <c r="E5522" s="39"/>
      <c r="F5522" s="40"/>
    </row>
    <row r="5523" spans="2:6">
      <c r="B5523" s="8"/>
      <c r="C5523" s="8"/>
      <c r="D5523" s="8"/>
      <c r="E5523" s="39"/>
      <c r="F5523" s="40"/>
    </row>
    <row r="5524" spans="2:6">
      <c r="B5524" s="8"/>
      <c r="C5524" s="8"/>
      <c r="D5524" s="8"/>
      <c r="E5524" s="39"/>
      <c r="F5524" s="40"/>
    </row>
    <row r="5525" spans="2:6">
      <c r="B5525" s="8"/>
      <c r="C5525" s="8"/>
      <c r="D5525" s="8"/>
      <c r="E5525" s="39"/>
      <c r="F5525" s="40"/>
    </row>
    <row r="5526" spans="2:6">
      <c r="B5526" s="8"/>
      <c r="C5526" s="8"/>
      <c r="D5526" s="8"/>
      <c r="E5526" s="39"/>
      <c r="F5526" s="40"/>
    </row>
    <row r="5527" spans="2:6">
      <c r="B5527" s="8"/>
      <c r="C5527" s="8"/>
      <c r="D5527" s="8"/>
      <c r="E5527" s="39"/>
      <c r="F5527" s="40"/>
    </row>
    <row r="5528" spans="2:6">
      <c r="B5528" s="8"/>
      <c r="C5528" s="8"/>
      <c r="D5528" s="8"/>
      <c r="E5528" s="39"/>
      <c r="F5528" s="40"/>
    </row>
    <row r="5529" spans="2:6">
      <c r="B5529" s="8"/>
      <c r="C5529" s="8"/>
      <c r="D5529" s="8"/>
      <c r="E5529" s="39"/>
      <c r="F5529" s="40"/>
    </row>
    <row r="5530" spans="2:6">
      <c r="B5530" s="8"/>
      <c r="C5530" s="8"/>
      <c r="D5530" s="8"/>
      <c r="E5530" s="39"/>
      <c r="F5530" s="40"/>
    </row>
    <row r="5531" spans="2:6">
      <c r="B5531" s="8"/>
      <c r="C5531" s="8"/>
      <c r="D5531" s="8"/>
      <c r="E5531" s="39"/>
      <c r="F5531" s="40"/>
    </row>
    <row r="5532" spans="2:6">
      <c r="B5532" s="8"/>
      <c r="C5532" s="8"/>
      <c r="D5532" s="8"/>
      <c r="E5532" s="39"/>
      <c r="F5532" s="40"/>
    </row>
    <row r="5533" spans="2:6">
      <c r="B5533" s="8"/>
      <c r="C5533" s="8"/>
      <c r="D5533" s="8"/>
      <c r="E5533" s="39"/>
      <c r="F5533" s="40"/>
    </row>
    <row r="5534" spans="2:6">
      <c r="B5534" s="8"/>
      <c r="C5534" s="8"/>
      <c r="D5534" s="8"/>
      <c r="E5534" s="39"/>
      <c r="F5534" s="40"/>
    </row>
    <row r="5535" spans="2:6">
      <c r="B5535" s="8"/>
      <c r="C5535" s="8"/>
      <c r="D5535" s="8"/>
      <c r="E5535" s="39"/>
      <c r="F5535" s="40"/>
    </row>
    <row r="5536" spans="2:6">
      <c r="B5536" s="8"/>
      <c r="C5536" s="8"/>
      <c r="D5536" s="8"/>
      <c r="E5536" s="39"/>
      <c r="F5536" s="40"/>
    </row>
    <row r="5537" spans="2:6">
      <c r="B5537" s="8"/>
      <c r="C5537" s="8"/>
      <c r="D5537" s="8"/>
      <c r="E5537" s="39"/>
      <c r="F5537" s="40"/>
    </row>
    <row r="5538" spans="2:6">
      <c r="B5538" s="8"/>
      <c r="C5538" s="8"/>
      <c r="D5538" s="8"/>
      <c r="E5538" s="39"/>
      <c r="F5538" s="40"/>
    </row>
    <row r="5539" spans="2:6">
      <c r="B5539" s="8"/>
      <c r="C5539" s="8"/>
      <c r="D5539" s="8"/>
      <c r="E5539" s="39"/>
      <c r="F5539" s="40"/>
    </row>
    <row r="5540" spans="2:6">
      <c r="B5540" s="8"/>
      <c r="C5540" s="8"/>
      <c r="D5540" s="8"/>
      <c r="E5540" s="39"/>
      <c r="F5540" s="40"/>
    </row>
    <row r="5541" spans="2:6">
      <c r="B5541" s="8"/>
      <c r="C5541" s="8"/>
      <c r="D5541" s="8"/>
      <c r="E5541" s="39"/>
      <c r="F5541" s="40"/>
    </row>
    <row r="5542" spans="2:6">
      <c r="B5542" s="8"/>
      <c r="C5542" s="8"/>
      <c r="D5542" s="8"/>
      <c r="E5542" s="39"/>
      <c r="F5542" s="40"/>
    </row>
    <row r="5543" spans="2:6">
      <c r="B5543" s="8"/>
      <c r="C5543" s="8"/>
      <c r="D5543" s="8"/>
      <c r="E5543" s="39"/>
      <c r="F5543" s="40"/>
    </row>
    <row r="5544" spans="2:6">
      <c r="B5544" s="8"/>
      <c r="C5544" s="8"/>
      <c r="D5544" s="8"/>
      <c r="E5544" s="39"/>
      <c r="F5544" s="40"/>
    </row>
    <row r="5545" spans="2:6">
      <c r="B5545" s="8"/>
      <c r="C5545" s="8"/>
      <c r="D5545" s="8"/>
      <c r="E5545" s="39"/>
      <c r="F5545" s="40"/>
    </row>
    <row r="5546" spans="2:6">
      <c r="B5546" s="8"/>
      <c r="C5546" s="8"/>
      <c r="D5546" s="8"/>
      <c r="E5546" s="39"/>
      <c r="F5546" s="40"/>
    </row>
    <row r="5547" spans="2:6">
      <c r="B5547" s="8"/>
      <c r="C5547" s="8"/>
      <c r="D5547" s="8"/>
      <c r="E5547" s="39"/>
      <c r="F5547" s="40"/>
    </row>
    <row r="5548" spans="2:6">
      <c r="B5548" s="8"/>
      <c r="C5548" s="8"/>
      <c r="D5548" s="8"/>
      <c r="E5548" s="39"/>
      <c r="F5548" s="40"/>
    </row>
    <row r="5549" spans="2:6">
      <c r="B5549" s="8"/>
      <c r="C5549" s="8"/>
      <c r="D5549" s="8"/>
      <c r="E5549" s="39"/>
      <c r="F5549" s="40"/>
    </row>
    <row r="5550" spans="2:6">
      <c r="B5550" s="8"/>
      <c r="C5550" s="8"/>
      <c r="D5550" s="8"/>
      <c r="E5550" s="39"/>
      <c r="F5550" s="40"/>
    </row>
    <row r="5551" spans="2:6">
      <c r="B5551" s="8"/>
      <c r="C5551" s="8"/>
      <c r="D5551" s="8"/>
      <c r="E5551" s="39"/>
      <c r="F5551" s="40"/>
    </row>
    <row r="5552" spans="2:6">
      <c r="B5552" s="8"/>
      <c r="C5552" s="8"/>
      <c r="D5552" s="8"/>
      <c r="E5552" s="39"/>
      <c r="F5552" s="40"/>
    </row>
    <row r="5553" spans="2:6">
      <c r="B5553" s="8"/>
      <c r="C5553" s="8"/>
      <c r="D5553" s="8"/>
      <c r="E5553" s="39"/>
      <c r="F5553" s="40"/>
    </row>
    <row r="5554" spans="2:6">
      <c r="B5554" s="8"/>
      <c r="C5554" s="8"/>
      <c r="D5554" s="8"/>
      <c r="E5554" s="39"/>
      <c r="F5554" s="40"/>
    </row>
    <row r="5555" spans="2:6">
      <c r="B5555" s="8"/>
      <c r="C5555" s="8"/>
      <c r="D5555" s="8"/>
      <c r="E5555" s="39"/>
      <c r="F5555" s="40"/>
    </row>
    <row r="5556" spans="2:6">
      <c r="B5556" s="8"/>
      <c r="C5556" s="8"/>
      <c r="D5556" s="8"/>
      <c r="E5556" s="39"/>
      <c r="F5556" s="40"/>
    </row>
    <row r="5557" spans="2:6">
      <c r="B5557" s="8"/>
      <c r="C5557" s="8"/>
      <c r="D5557" s="8"/>
      <c r="E5557" s="39"/>
      <c r="F5557" s="40"/>
    </row>
    <row r="5558" spans="2:6">
      <c r="B5558" s="8"/>
      <c r="C5558" s="8"/>
      <c r="D5558" s="8"/>
      <c r="E5558" s="39"/>
      <c r="F5558" s="40"/>
    </row>
    <row r="5559" spans="2:6">
      <c r="B5559" s="8"/>
      <c r="C5559" s="8"/>
      <c r="D5559" s="8"/>
      <c r="E5559" s="39"/>
      <c r="F5559" s="40"/>
    </row>
    <row r="5560" spans="2:6">
      <c r="B5560" s="8"/>
      <c r="C5560" s="8"/>
      <c r="D5560" s="8"/>
      <c r="E5560" s="39"/>
      <c r="F5560" s="40"/>
    </row>
    <row r="5561" spans="2:6">
      <c r="B5561" s="8"/>
      <c r="C5561" s="8"/>
      <c r="D5561" s="8"/>
      <c r="E5561" s="39"/>
      <c r="F5561" s="40"/>
    </row>
    <row r="5562" spans="2:6">
      <c r="B5562" s="8"/>
      <c r="C5562" s="8"/>
      <c r="D5562" s="8"/>
      <c r="E5562" s="39"/>
      <c r="F5562" s="40"/>
    </row>
    <row r="5563" spans="2:6">
      <c r="B5563" s="8"/>
      <c r="C5563" s="8"/>
      <c r="D5563" s="8"/>
      <c r="E5563" s="39"/>
      <c r="F5563" s="40"/>
    </row>
    <row r="5564" spans="2:6">
      <c r="B5564" s="8"/>
      <c r="C5564" s="8"/>
      <c r="D5564" s="8"/>
      <c r="E5564" s="39"/>
      <c r="F5564" s="40"/>
    </row>
    <row r="5565" spans="2:6">
      <c r="B5565" s="8"/>
      <c r="C5565" s="8"/>
      <c r="D5565" s="8"/>
      <c r="E5565" s="39"/>
      <c r="F5565" s="40"/>
    </row>
    <row r="5566" spans="2:6">
      <c r="B5566" s="8"/>
      <c r="C5566" s="8"/>
      <c r="D5566" s="8"/>
      <c r="E5566" s="39"/>
      <c r="F5566" s="40"/>
    </row>
    <row r="5567" spans="2:6">
      <c r="B5567" s="8"/>
      <c r="C5567" s="8"/>
      <c r="D5567" s="8"/>
      <c r="E5567" s="39"/>
      <c r="F5567" s="40"/>
    </row>
    <row r="5568" spans="2:6">
      <c r="B5568" s="8"/>
      <c r="C5568" s="8"/>
      <c r="D5568" s="8"/>
      <c r="E5568" s="39"/>
      <c r="F5568" s="40"/>
    </row>
    <row r="5569" spans="2:6">
      <c r="B5569" s="8"/>
      <c r="C5569" s="8"/>
      <c r="D5569" s="8"/>
      <c r="E5569" s="39"/>
      <c r="F5569" s="40"/>
    </row>
    <row r="5570" spans="2:6">
      <c r="B5570" s="8"/>
      <c r="C5570" s="8"/>
      <c r="D5570" s="8"/>
      <c r="E5570" s="39"/>
      <c r="F5570" s="40"/>
    </row>
    <row r="5571" spans="2:6">
      <c r="B5571" s="8"/>
      <c r="C5571" s="8"/>
      <c r="D5571" s="8"/>
      <c r="E5571" s="39"/>
      <c r="F5571" s="40"/>
    </row>
    <row r="5572" spans="2:6">
      <c r="B5572" s="8"/>
      <c r="C5572" s="8"/>
      <c r="D5572" s="8"/>
      <c r="E5572" s="39"/>
      <c r="F5572" s="40"/>
    </row>
    <row r="5573" spans="2:6">
      <c r="B5573" s="8"/>
      <c r="C5573" s="8"/>
      <c r="D5573" s="8"/>
      <c r="E5573" s="39"/>
      <c r="F5573" s="40"/>
    </row>
    <row r="5574" spans="2:6">
      <c r="B5574" s="8"/>
      <c r="C5574" s="8"/>
      <c r="D5574" s="8"/>
      <c r="E5574" s="39"/>
      <c r="F5574" s="40"/>
    </row>
    <row r="5575" spans="2:6">
      <c r="B5575" s="8"/>
      <c r="C5575" s="8"/>
      <c r="D5575" s="8"/>
      <c r="E5575" s="39"/>
      <c r="F5575" s="40"/>
    </row>
    <row r="5576" spans="2:6">
      <c r="B5576" s="8"/>
      <c r="C5576" s="8"/>
      <c r="D5576" s="8"/>
      <c r="E5576" s="39"/>
      <c r="F5576" s="40"/>
    </row>
    <row r="5577" spans="2:6">
      <c r="B5577" s="8"/>
      <c r="C5577" s="8"/>
      <c r="D5577" s="8"/>
      <c r="E5577" s="39"/>
      <c r="F5577" s="40"/>
    </row>
    <row r="5578" spans="2:6">
      <c r="B5578" s="8"/>
      <c r="C5578" s="8"/>
      <c r="D5578" s="8"/>
      <c r="E5578" s="39"/>
      <c r="F5578" s="40"/>
    </row>
    <row r="5579" spans="2:6">
      <c r="B5579" s="8"/>
      <c r="C5579" s="8"/>
      <c r="D5579" s="8"/>
      <c r="E5579" s="39"/>
      <c r="F5579" s="40"/>
    </row>
    <row r="5580" spans="2:6">
      <c r="B5580" s="8"/>
      <c r="C5580" s="8"/>
      <c r="D5580" s="8"/>
      <c r="E5580" s="39"/>
      <c r="F5580" s="40"/>
    </row>
    <row r="5581" spans="2:6">
      <c r="B5581" s="8"/>
      <c r="C5581" s="8"/>
      <c r="D5581" s="8"/>
      <c r="E5581" s="39"/>
      <c r="F5581" s="40"/>
    </row>
    <row r="5582" spans="2:6">
      <c r="B5582" s="8"/>
      <c r="C5582" s="8"/>
      <c r="D5582" s="8"/>
      <c r="E5582" s="39"/>
      <c r="F5582" s="40"/>
    </row>
    <row r="5583" spans="2:6">
      <c r="B5583" s="8"/>
      <c r="C5583" s="8"/>
      <c r="D5583" s="8"/>
      <c r="E5583" s="39"/>
      <c r="F5583" s="40"/>
    </row>
    <row r="5584" spans="2:6">
      <c r="B5584" s="8"/>
      <c r="C5584" s="8"/>
      <c r="D5584" s="8"/>
      <c r="E5584" s="39"/>
      <c r="F5584" s="40"/>
    </row>
    <row r="5585" spans="2:6">
      <c r="B5585" s="8"/>
      <c r="C5585" s="8"/>
      <c r="D5585" s="8"/>
      <c r="E5585" s="39"/>
      <c r="F5585" s="40"/>
    </row>
    <row r="5586" spans="2:6">
      <c r="B5586" s="8"/>
      <c r="C5586" s="8"/>
      <c r="D5586" s="8"/>
      <c r="E5586" s="39"/>
      <c r="F5586" s="40"/>
    </row>
    <row r="5587" spans="2:6">
      <c r="B5587" s="8"/>
      <c r="C5587" s="8"/>
      <c r="D5587" s="8"/>
      <c r="E5587" s="39"/>
      <c r="F5587" s="40"/>
    </row>
    <row r="5588" spans="2:6">
      <c r="B5588" s="8"/>
      <c r="C5588" s="8"/>
      <c r="D5588" s="8"/>
      <c r="E5588" s="39"/>
      <c r="F5588" s="40"/>
    </row>
    <row r="5589" spans="2:6">
      <c r="B5589" s="8"/>
      <c r="C5589" s="8"/>
      <c r="D5589" s="8"/>
      <c r="E5589" s="39"/>
      <c r="F5589" s="40"/>
    </row>
    <row r="5590" spans="2:6">
      <c r="B5590" s="8"/>
      <c r="C5590" s="8"/>
      <c r="D5590" s="8"/>
      <c r="E5590" s="39"/>
      <c r="F5590" s="40"/>
    </row>
    <row r="5591" spans="2:6">
      <c r="B5591" s="8"/>
      <c r="C5591" s="8"/>
      <c r="D5591" s="8"/>
      <c r="E5591" s="39"/>
      <c r="F5591" s="40"/>
    </row>
    <row r="5592" spans="2:6">
      <c r="B5592" s="8"/>
      <c r="C5592" s="8"/>
      <c r="D5592" s="8"/>
      <c r="E5592" s="39"/>
      <c r="F5592" s="40"/>
    </row>
    <row r="5593" spans="2:6">
      <c r="B5593" s="8"/>
      <c r="C5593" s="8"/>
      <c r="D5593" s="8"/>
      <c r="E5593" s="39"/>
      <c r="F5593" s="40"/>
    </row>
    <row r="5594" spans="2:6">
      <c r="B5594" s="8"/>
      <c r="C5594" s="8"/>
      <c r="D5594" s="8"/>
      <c r="E5594" s="39"/>
      <c r="F5594" s="40"/>
    </row>
    <row r="5595" spans="2:6">
      <c r="B5595" s="8"/>
      <c r="C5595" s="8"/>
      <c r="D5595" s="8"/>
      <c r="E5595" s="39"/>
      <c r="F5595" s="40"/>
    </row>
    <row r="5596" spans="2:6">
      <c r="B5596" s="8"/>
      <c r="C5596" s="8"/>
      <c r="D5596" s="8"/>
      <c r="E5596" s="39"/>
      <c r="F5596" s="40"/>
    </row>
    <row r="5597" spans="2:6">
      <c r="B5597" s="8"/>
      <c r="C5597" s="8"/>
      <c r="D5597" s="8"/>
      <c r="E5597" s="39"/>
      <c r="F5597" s="40"/>
    </row>
    <row r="5598" spans="2:6">
      <c r="B5598" s="8"/>
      <c r="C5598" s="8"/>
      <c r="D5598" s="8"/>
      <c r="E5598" s="39"/>
      <c r="F5598" s="40"/>
    </row>
    <row r="5599" spans="2:6">
      <c r="B5599" s="8"/>
      <c r="C5599" s="8"/>
      <c r="D5599" s="8"/>
      <c r="E5599" s="39"/>
      <c r="F5599" s="40"/>
    </row>
    <row r="5600" spans="2:6">
      <c r="B5600" s="8"/>
      <c r="C5600" s="8"/>
      <c r="D5600" s="8"/>
      <c r="E5600" s="39"/>
      <c r="F5600" s="40"/>
    </row>
    <row r="5601" spans="2:6">
      <c r="B5601" s="8"/>
      <c r="C5601" s="8"/>
      <c r="D5601" s="8"/>
      <c r="E5601" s="39"/>
      <c r="F5601" s="40"/>
    </row>
    <row r="5602" spans="2:6">
      <c r="B5602" s="8"/>
      <c r="C5602" s="8"/>
      <c r="D5602" s="8"/>
      <c r="E5602" s="39"/>
      <c r="F5602" s="40"/>
    </row>
    <row r="5603" spans="2:6">
      <c r="B5603" s="8"/>
      <c r="C5603" s="8"/>
      <c r="D5603" s="8"/>
      <c r="E5603" s="39"/>
      <c r="F5603" s="40"/>
    </row>
    <row r="5604" spans="2:6">
      <c r="B5604" s="8"/>
      <c r="C5604" s="8"/>
      <c r="D5604" s="8"/>
      <c r="E5604" s="39"/>
      <c r="F5604" s="40"/>
    </row>
    <row r="5605" spans="2:6">
      <c r="B5605" s="8"/>
      <c r="C5605" s="8"/>
      <c r="D5605" s="8"/>
      <c r="E5605" s="39"/>
      <c r="F5605" s="40"/>
    </row>
    <row r="5606" spans="2:6">
      <c r="B5606" s="8"/>
      <c r="C5606" s="8"/>
      <c r="D5606" s="8"/>
      <c r="E5606" s="39"/>
      <c r="F5606" s="40"/>
    </row>
    <row r="5607" spans="2:6">
      <c r="B5607" s="8"/>
      <c r="C5607" s="8"/>
      <c r="D5607" s="8"/>
      <c r="E5607" s="39"/>
      <c r="F5607" s="40"/>
    </row>
    <row r="5608" spans="2:6">
      <c r="B5608" s="8"/>
      <c r="C5608" s="8"/>
      <c r="D5608" s="8"/>
      <c r="E5608" s="39"/>
      <c r="F5608" s="40"/>
    </row>
    <row r="5609" spans="2:6">
      <c r="B5609" s="8"/>
      <c r="C5609" s="8"/>
      <c r="D5609" s="8"/>
      <c r="E5609" s="39"/>
      <c r="F5609" s="40"/>
    </row>
    <row r="5610" spans="2:6">
      <c r="B5610" s="8"/>
      <c r="C5610" s="8"/>
      <c r="D5610" s="8"/>
      <c r="E5610" s="39"/>
      <c r="F5610" s="40"/>
    </row>
    <row r="5611" spans="2:6">
      <c r="B5611" s="8"/>
      <c r="C5611" s="8"/>
      <c r="D5611" s="8"/>
      <c r="E5611" s="39"/>
      <c r="F5611" s="40"/>
    </row>
    <row r="5612" spans="2:6">
      <c r="B5612" s="8"/>
      <c r="C5612" s="8"/>
      <c r="D5612" s="8"/>
      <c r="E5612" s="39"/>
      <c r="F5612" s="40"/>
    </row>
    <row r="5613" spans="2:6">
      <c r="B5613" s="8"/>
      <c r="C5613" s="8"/>
      <c r="D5613" s="8"/>
      <c r="E5613" s="39"/>
      <c r="F5613" s="40"/>
    </row>
    <row r="5614" spans="2:6">
      <c r="B5614" s="8"/>
      <c r="C5614" s="8"/>
      <c r="D5614" s="8"/>
      <c r="E5614" s="39"/>
      <c r="F5614" s="40"/>
    </row>
    <row r="5615" spans="2:6">
      <c r="B5615" s="8"/>
      <c r="C5615" s="8"/>
      <c r="D5615" s="8"/>
      <c r="E5615" s="39"/>
      <c r="F5615" s="40"/>
    </row>
    <row r="5616" spans="2:6">
      <c r="B5616" s="8"/>
      <c r="C5616" s="8"/>
      <c r="D5616" s="8"/>
      <c r="E5616" s="39"/>
      <c r="F5616" s="40"/>
    </row>
    <row r="5617" spans="2:6">
      <c r="B5617" s="8"/>
      <c r="C5617" s="8"/>
      <c r="D5617" s="8"/>
      <c r="E5617" s="39"/>
      <c r="F5617" s="40"/>
    </row>
    <row r="5618" spans="2:6">
      <c r="B5618" s="8"/>
      <c r="C5618" s="8"/>
      <c r="D5618" s="8"/>
      <c r="E5618" s="39"/>
      <c r="F5618" s="40"/>
    </row>
    <row r="5619" spans="2:6">
      <c r="B5619" s="8"/>
      <c r="C5619" s="8"/>
      <c r="D5619" s="8"/>
      <c r="E5619" s="39"/>
      <c r="F5619" s="40"/>
    </row>
    <row r="5620" spans="2:6">
      <c r="B5620" s="8"/>
      <c r="C5620" s="8"/>
      <c r="D5620" s="8"/>
      <c r="E5620" s="39"/>
      <c r="F5620" s="40"/>
    </row>
    <row r="5621" spans="2:6">
      <c r="B5621" s="8"/>
      <c r="C5621" s="8"/>
      <c r="D5621" s="8"/>
      <c r="E5621" s="39"/>
      <c r="F5621" s="40"/>
    </row>
    <row r="5622" spans="2:6">
      <c r="B5622" s="8"/>
      <c r="C5622" s="8"/>
      <c r="D5622" s="8"/>
      <c r="E5622" s="39"/>
      <c r="F5622" s="40"/>
    </row>
    <row r="5623" spans="2:6">
      <c r="B5623" s="8"/>
      <c r="C5623" s="8"/>
      <c r="D5623" s="8"/>
      <c r="E5623" s="39"/>
      <c r="F5623" s="40"/>
    </row>
    <row r="5624" spans="2:6">
      <c r="B5624" s="8"/>
      <c r="C5624" s="8"/>
      <c r="D5624" s="8"/>
      <c r="E5624" s="39"/>
      <c r="F5624" s="40"/>
    </row>
    <row r="5625" spans="2:6">
      <c r="B5625" s="8"/>
      <c r="C5625" s="8"/>
      <c r="D5625" s="8"/>
      <c r="E5625" s="39"/>
      <c r="F5625" s="40"/>
    </row>
    <row r="5626" spans="2:6">
      <c r="B5626" s="8"/>
      <c r="C5626" s="8"/>
      <c r="D5626" s="8"/>
      <c r="E5626" s="39"/>
      <c r="F5626" s="40"/>
    </row>
    <row r="5627" spans="2:6">
      <c r="B5627" s="8"/>
      <c r="C5627" s="8"/>
      <c r="D5627" s="8"/>
      <c r="E5627" s="39"/>
      <c r="F5627" s="40"/>
    </row>
    <row r="5628" spans="2:6">
      <c r="B5628" s="8"/>
      <c r="C5628" s="8"/>
      <c r="D5628" s="8"/>
      <c r="E5628" s="39"/>
      <c r="F5628" s="40"/>
    </row>
    <row r="5629" spans="2:6">
      <c r="B5629" s="8"/>
      <c r="C5629" s="8"/>
      <c r="D5629" s="8"/>
      <c r="E5629" s="39"/>
      <c r="F5629" s="40"/>
    </row>
    <row r="5630" spans="2:6">
      <c r="B5630" s="8"/>
      <c r="C5630" s="8"/>
      <c r="D5630" s="8"/>
      <c r="E5630" s="39"/>
      <c r="F5630" s="40"/>
    </row>
    <row r="5631" spans="2:6">
      <c r="B5631" s="8"/>
      <c r="C5631" s="8"/>
      <c r="D5631" s="8"/>
      <c r="E5631" s="39"/>
      <c r="F5631" s="40"/>
    </row>
    <row r="5632" spans="2:6">
      <c r="B5632" s="8"/>
      <c r="C5632" s="8"/>
      <c r="D5632" s="8"/>
      <c r="E5632" s="39"/>
      <c r="F5632" s="40"/>
    </row>
    <row r="5633" spans="2:6">
      <c r="B5633" s="8"/>
      <c r="C5633" s="8"/>
      <c r="D5633" s="8"/>
      <c r="E5633" s="39"/>
      <c r="F5633" s="40"/>
    </row>
    <row r="5634" spans="2:6">
      <c r="B5634" s="8"/>
      <c r="C5634" s="8"/>
      <c r="D5634" s="8"/>
      <c r="E5634" s="39"/>
      <c r="F5634" s="40"/>
    </row>
    <row r="5635" spans="2:6">
      <c r="B5635" s="8"/>
      <c r="C5635" s="8"/>
      <c r="D5635" s="8"/>
      <c r="E5635" s="39"/>
      <c r="F5635" s="40"/>
    </row>
    <row r="5636" spans="2:6">
      <c r="B5636" s="8"/>
      <c r="C5636" s="8"/>
      <c r="D5636" s="8"/>
      <c r="E5636" s="39"/>
      <c r="F5636" s="40"/>
    </row>
    <row r="5637" spans="2:6">
      <c r="B5637" s="8"/>
      <c r="C5637" s="8"/>
      <c r="D5637" s="8"/>
      <c r="E5637" s="39"/>
      <c r="F5637" s="40"/>
    </row>
    <row r="5638" spans="2:6">
      <c r="B5638" s="8"/>
      <c r="C5638" s="8"/>
      <c r="D5638" s="8"/>
      <c r="E5638" s="39"/>
      <c r="F5638" s="40"/>
    </row>
    <row r="5639" spans="2:6">
      <c r="B5639" s="8"/>
      <c r="C5639" s="8"/>
      <c r="D5639" s="8"/>
      <c r="E5639" s="39"/>
      <c r="F5639" s="40"/>
    </row>
    <row r="5640" spans="2:6">
      <c r="B5640" s="8"/>
      <c r="C5640" s="8"/>
      <c r="D5640" s="8"/>
      <c r="E5640" s="39"/>
      <c r="F5640" s="40"/>
    </row>
    <row r="5641" spans="2:6">
      <c r="B5641" s="8"/>
      <c r="C5641" s="8"/>
      <c r="D5641" s="8"/>
      <c r="E5641" s="39"/>
      <c r="F5641" s="40"/>
    </row>
    <row r="5642" spans="2:6">
      <c r="B5642" s="8"/>
      <c r="C5642" s="8"/>
      <c r="D5642" s="8"/>
      <c r="E5642" s="39"/>
      <c r="F5642" s="40"/>
    </row>
    <row r="5643" spans="2:6">
      <c r="B5643" s="8"/>
      <c r="C5643" s="8"/>
      <c r="D5643" s="8"/>
      <c r="E5643" s="39"/>
      <c r="F5643" s="40"/>
    </row>
    <row r="5644" spans="2:6">
      <c r="B5644" s="8"/>
      <c r="C5644" s="8"/>
      <c r="D5644" s="8"/>
      <c r="E5644" s="39"/>
      <c r="F5644" s="40"/>
    </row>
    <row r="5645" spans="2:6">
      <c r="B5645" s="8"/>
      <c r="C5645" s="8"/>
      <c r="D5645" s="8"/>
      <c r="E5645" s="39"/>
      <c r="F5645" s="40"/>
    </row>
    <row r="5646" spans="2:6">
      <c r="B5646" s="8"/>
      <c r="C5646" s="8"/>
      <c r="D5646" s="8"/>
      <c r="E5646" s="39"/>
      <c r="F5646" s="40"/>
    </row>
    <row r="5647" spans="2:6">
      <c r="B5647" s="8"/>
      <c r="C5647" s="8"/>
      <c r="D5647" s="8"/>
      <c r="E5647" s="39"/>
      <c r="F5647" s="40"/>
    </row>
    <row r="5648" spans="2:6">
      <c r="B5648" s="8"/>
      <c r="C5648" s="8"/>
      <c r="D5648" s="8"/>
      <c r="E5648" s="39"/>
      <c r="F5648" s="40"/>
    </row>
    <row r="5649" spans="2:6">
      <c r="B5649" s="8"/>
      <c r="C5649" s="8"/>
      <c r="D5649" s="8"/>
      <c r="E5649" s="39"/>
      <c r="F5649" s="40"/>
    </row>
    <row r="5650" spans="2:6">
      <c r="B5650" s="8"/>
      <c r="C5650" s="8"/>
      <c r="D5650" s="8"/>
      <c r="E5650" s="39"/>
      <c r="F5650" s="40"/>
    </row>
    <row r="5651" spans="2:6">
      <c r="B5651" s="8"/>
      <c r="C5651" s="8"/>
      <c r="D5651" s="8"/>
      <c r="E5651" s="39"/>
      <c r="F5651" s="40"/>
    </row>
    <row r="5652" spans="2:6">
      <c r="B5652" s="8"/>
      <c r="C5652" s="8"/>
      <c r="D5652" s="8"/>
      <c r="E5652" s="39"/>
      <c r="F5652" s="40"/>
    </row>
    <row r="5653" spans="2:6">
      <c r="B5653" s="8"/>
      <c r="C5653" s="8"/>
      <c r="D5653" s="8"/>
      <c r="E5653" s="39"/>
      <c r="F5653" s="40"/>
    </row>
    <row r="5654" spans="2:6">
      <c r="B5654" s="8"/>
      <c r="C5654" s="8"/>
      <c r="D5654" s="8"/>
      <c r="E5654" s="39"/>
      <c r="F5654" s="40"/>
    </row>
    <row r="5655" spans="2:6">
      <c r="B5655" s="8"/>
      <c r="C5655" s="8"/>
      <c r="D5655" s="8"/>
      <c r="E5655" s="39"/>
      <c r="F5655" s="40"/>
    </row>
    <row r="5656" spans="2:6">
      <c r="B5656" s="8"/>
      <c r="C5656" s="8"/>
      <c r="D5656" s="8"/>
      <c r="E5656" s="39"/>
      <c r="F5656" s="40"/>
    </row>
    <row r="5657" spans="2:6">
      <c r="B5657" s="8"/>
      <c r="C5657" s="8"/>
      <c r="D5657" s="8"/>
      <c r="E5657" s="39"/>
      <c r="F5657" s="40"/>
    </row>
    <row r="5658" spans="2:6">
      <c r="B5658" s="8"/>
      <c r="C5658" s="8"/>
      <c r="D5658" s="8"/>
      <c r="E5658" s="39"/>
      <c r="F5658" s="40"/>
    </row>
    <row r="5659" spans="2:6">
      <c r="B5659" s="8"/>
      <c r="C5659" s="8"/>
      <c r="D5659" s="8"/>
      <c r="E5659" s="39"/>
      <c r="F5659" s="40"/>
    </row>
    <row r="5660" spans="2:6">
      <c r="B5660" s="8"/>
      <c r="C5660" s="8"/>
      <c r="D5660" s="8"/>
      <c r="E5660" s="39"/>
      <c r="F5660" s="40"/>
    </row>
    <row r="5661" spans="2:6">
      <c r="B5661" s="8"/>
      <c r="C5661" s="8"/>
      <c r="D5661" s="8"/>
      <c r="E5661" s="39"/>
      <c r="F5661" s="40"/>
    </row>
    <row r="5662" spans="2:6">
      <c r="B5662" s="8"/>
      <c r="C5662" s="8"/>
      <c r="D5662" s="8"/>
      <c r="E5662" s="39"/>
      <c r="F5662" s="40"/>
    </row>
    <row r="5663" spans="2:6">
      <c r="B5663" s="8"/>
      <c r="C5663" s="8"/>
      <c r="D5663" s="8"/>
      <c r="E5663" s="39"/>
      <c r="F5663" s="40"/>
    </row>
    <row r="5664" spans="2:6">
      <c r="B5664" s="8"/>
      <c r="C5664" s="8"/>
      <c r="D5664" s="8"/>
      <c r="E5664" s="39"/>
      <c r="F5664" s="40"/>
    </row>
    <row r="5665" spans="2:6">
      <c r="B5665" s="8"/>
      <c r="C5665" s="8"/>
      <c r="D5665" s="8"/>
      <c r="E5665" s="39"/>
      <c r="F5665" s="40"/>
    </row>
    <row r="5666" spans="2:6">
      <c r="B5666" s="8"/>
      <c r="C5666" s="8"/>
      <c r="D5666" s="8"/>
      <c r="E5666" s="39"/>
      <c r="F5666" s="40"/>
    </row>
    <row r="5667" spans="2:6">
      <c r="B5667" s="8"/>
      <c r="C5667" s="8"/>
      <c r="D5667" s="8"/>
      <c r="E5667" s="39"/>
      <c r="F5667" s="40"/>
    </row>
    <row r="5668" spans="2:6">
      <c r="B5668" s="8"/>
      <c r="C5668" s="8"/>
      <c r="D5668" s="8"/>
      <c r="E5668" s="39"/>
      <c r="F5668" s="40"/>
    </row>
    <row r="5669" spans="2:6">
      <c r="B5669" s="8"/>
      <c r="C5669" s="8"/>
      <c r="D5669" s="8"/>
      <c r="E5669" s="39"/>
      <c r="F5669" s="40"/>
    </row>
    <row r="5670" spans="2:6">
      <c r="B5670" s="8"/>
      <c r="C5670" s="8"/>
      <c r="D5670" s="8"/>
      <c r="E5670" s="39"/>
      <c r="F5670" s="40"/>
    </row>
    <row r="5671" spans="2:6">
      <c r="B5671" s="8"/>
      <c r="C5671" s="8"/>
      <c r="D5671" s="8"/>
      <c r="E5671" s="39"/>
      <c r="F5671" s="40"/>
    </row>
    <row r="5672" spans="2:6">
      <c r="B5672" s="8"/>
      <c r="C5672" s="8"/>
      <c r="D5672" s="8"/>
      <c r="E5672" s="39"/>
      <c r="F5672" s="40"/>
    </row>
    <row r="5673" spans="2:6">
      <c r="B5673" s="8"/>
      <c r="C5673" s="8"/>
      <c r="D5673" s="8"/>
      <c r="E5673" s="39"/>
      <c r="F5673" s="40"/>
    </row>
    <row r="5674" spans="2:6">
      <c r="B5674" s="8"/>
      <c r="C5674" s="8"/>
      <c r="D5674" s="8"/>
      <c r="E5674" s="39"/>
      <c r="F5674" s="40"/>
    </row>
    <row r="5675" spans="2:6">
      <c r="B5675" s="8"/>
      <c r="C5675" s="8"/>
      <c r="D5675" s="8"/>
      <c r="E5675" s="39"/>
      <c r="F5675" s="40"/>
    </row>
    <row r="5676" spans="2:6">
      <c r="B5676" s="8"/>
      <c r="C5676" s="8"/>
      <c r="D5676" s="8"/>
      <c r="E5676" s="39"/>
      <c r="F5676" s="40"/>
    </row>
    <row r="5677" spans="2:6">
      <c r="B5677" s="8"/>
      <c r="C5677" s="8"/>
      <c r="D5677" s="8"/>
      <c r="E5677" s="39"/>
      <c r="F5677" s="40"/>
    </row>
    <row r="5678" spans="2:6">
      <c r="B5678" s="8"/>
      <c r="C5678" s="8"/>
      <c r="D5678" s="8"/>
      <c r="E5678" s="39"/>
      <c r="F5678" s="40"/>
    </row>
    <row r="5679" spans="2:6">
      <c r="B5679" s="8"/>
      <c r="C5679" s="8"/>
      <c r="D5679" s="8"/>
      <c r="E5679" s="39"/>
      <c r="F5679" s="40"/>
    </row>
    <row r="5680" spans="2:6">
      <c r="B5680" s="8"/>
      <c r="C5680" s="8"/>
      <c r="D5680" s="8"/>
      <c r="E5680" s="39"/>
      <c r="F5680" s="40"/>
    </row>
    <row r="5681" spans="2:6">
      <c r="B5681" s="8"/>
      <c r="C5681" s="8"/>
      <c r="D5681" s="8"/>
      <c r="E5681" s="39"/>
      <c r="F5681" s="40"/>
    </row>
    <row r="5682" spans="2:6">
      <c r="B5682" s="8"/>
      <c r="C5682" s="8"/>
      <c r="D5682" s="8"/>
      <c r="E5682" s="39"/>
      <c r="F5682" s="40"/>
    </row>
    <row r="5683" spans="2:6">
      <c r="B5683" s="8"/>
      <c r="C5683" s="8"/>
      <c r="D5683" s="8"/>
      <c r="E5683" s="39"/>
      <c r="F5683" s="40"/>
    </row>
    <row r="5684" spans="2:6">
      <c r="B5684" s="8"/>
      <c r="C5684" s="8"/>
      <c r="D5684" s="8"/>
      <c r="E5684" s="39"/>
      <c r="F5684" s="40"/>
    </row>
    <row r="5685" spans="2:6">
      <c r="B5685" s="8"/>
      <c r="C5685" s="8"/>
      <c r="D5685" s="8"/>
      <c r="E5685" s="39"/>
      <c r="F5685" s="40"/>
    </row>
    <row r="5686" spans="2:6">
      <c r="B5686" s="8"/>
      <c r="C5686" s="8"/>
      <c r="D5686" s="8"/>
      <c r="E5686" s="39"/>
      <c r="F5686" s="40"/>
    </row>
    <row r="5687" spans="2:6">
      <c r="B5687" s="8"/>
      <c r="C5687" s="8"/>
      <c r="D5687" s="8"/>
      <c r="E5687" s="39"/>
      <c r="F5687" s="40"/>
    </row>
    <row r="5688" spans="2:6">
      <c r="B5688" s="8"/>
      <c r="C5688" s="8"/>
      <c r="D5688" s="8"/>
      <c r="E5688" s="39"/>
      <c r="F5688" s="40"/>
    </row>
    <row r="5689" spans="2:6">
      <c r="B5689" s="8"/>
      <c r="C5689" s="8"/>
      <c r="D5689" s="8"/>
      <c r="E5689" s="39"/>
      <c r="F5689" s="40"/>
    </row>
    <row r="5690" spans="2:6">
      <c r="B5690" s="8"/>
      <c r="C5690" s="8"/>
      <c r="D5690" s="8"/>
      <c r="E5690" s="39"/>
      <c r="F5690" s="40"/>
    </row>
    <row r="5691" spans="2:6">
      <c r="B5691" s="8"/>
      <c r="C5691" s="8"/>
      <c r="D5691" s="8"/>
      <c r="E5691" s="39"/>
      <c r="F5691" s="40"/>
    </row>
    <row r="5692" spans="2:6">
      <c r="B5692" s="8"/>
      <c r="C5692" s="8"/>
      <c r="D5692" s="8"/>
      <c r="E5692" s="39"/>
      <c r="F5692" s="40"/>
    </row>
    <row r="5693" spans="2:6">
      <c r="B5693" s="8"/>
      <c r="C5693" s="8"/>
      <c r="D5693" s="8"/>
      <c r="E5693" s="39"/>
      <c r="F5693" s="40"/>
    </row>
    <row r="5694" spans="2:6">
      <c r="B5694" s="8"/>
      <c r="C5694" s="8"/>
      <c r="D5694" s="8"/>
      <c r="E5694" s="39"/>
      <c r="F5694" s="40"/>
    </row>
    <row r="5695" spans="2:6">
      <c r="B5695" s="8"/>
      <c r="C5695" s="8"/>
      <c r="D5695" s="8"/>
      <c r="E5695" s="39"/>
      <c r="F5695" s="40"/>
    </row>
    <row r="5696" spans="2:6">
      <c r="B5696" s="8"/>
      <c r="C5696" s="8"/>
      <c r="D5696" s="8"/>
      <c r="E5696" s="39"/>
      <c r="F5696" s="40"/>
    </row>
    <row r="5697" spans="2:6">
      <c r="B5697" s="8"/>
      <c r="C5697" s="8"/>
      <c r="D5697" s="8"/>
      <c r="E5697" s="39"/>
      <c r="F5697" s="40"/>
    </row>
    <row r="5698" spans="2:6">
      <c r="B5698" s="8"/>
      <c r="C5698" s="8"/>
      <c r="D5698" s="8"/>
      <c r="E5698" s="39"/>
      <c r="F5698" s="40"/>
    </row>
    <row r="5699" spans="2:6">
      <c r="B5699" s="8"/>
      <c r="C5699" s="8"/>
      <c r="D5699" s="8"/>
      <c r="E5699" s="39"/>
      <c r="F5699" s="40"/>
    </row>
    <row r="5700" spans="2:6">
      <c r="B5700" s="8"/>
      <c r="C5700" s="8"/>
      <c r="D5700" s="8"/>
      <c r="E5700" s="39"/>
      <c r="F5700" s="40"/>
    </row>
    <row r="5701" spans="2:6">
      <c r="B5701" s="8"/>
      <c r="C5701" s="8"/>
      <c r="D5701" s="8"/>
      <c r="E5701" s="39"/>
      <c r="F5701" s="40"/>
    </row>
    <row r="5702" spans="2:6">
      <c r="B5702" s="8"/>
      <c r="C5702" s="8"/>
      <c r="D5702" s="8"/>
      <c r="E5702" s="39"/>
      <c r="F5702" s="40"/>
    </row>
    <row r="5703" spans="2:6">
      <c r="B5703" s="8"/>
      <c r="C5703" s="8"/>
      <c r="D5703" s="8"/>
      <c r="E5703" s="39"/>
      <c r="F5703" s="40"/>
    </row>
    <row r="5704" spans="2:6">
      <c r="B5704" s="8"/>
      <c r="C5704" s="8"/>
      <c r="D5704" s="8"/>
      <c r="E5704" s="39"/>
      <c r="F5704" s="40"/>
    </row>
    <row r="5705" spans="2:6">
      <c r="B5705" s="8"/>
      <c r="C5705" s="8"/>
      <c r="D5705" s="8"/>
      <c r="E5705" s="39"/>
      <c r="F5705" s="40"/>
    </row>
    <row r="5706" spans="2:6">
      <c r="B5706" s="8"/>
      <c r="C5706" s="8"/>
      <c r="D5706" s="8"/>
      <c r="E5706" s="39"/>
      <c r="F5706" s="40"/>
    </row>
    <row r="5707" spans="2:6">
      <c r="B5707" s="8"/>
      <c r="C5707" s="8"/>
      <c r="D5707" s="8"/>
      <c r="E5707" s="39"/>
      <c r="F5707" s="40"/>
    </row>
    <row r="5708" spans="2:6">
      <c r="B5708" s="8"/>
      <c r="C5708" s="8"/>
      <c r="D5708" s="8"/>
      <c r="E5708" s="39"/>
      <c r="F5708" s="40"/>
    </row>
    <row r="5709" spans="2:6">
      <c r="B5709" s="8"/>
      <c r="C5709" s="8"/>
      <c r="D5709" s="8"/>
      <c r="E5709" s="39"/>
      <c r="F5709" s="40"/>
    </row>
    <row r="5710" spans="2:6">
      <c r="B5710" s="8"/>
      <c r="C5710" s="8"/>
      <c r="D5710" s="8"/>
      <c r="E5710" s="39"/>
      <c r="F5710" s="40"/>
    </row>
    <row r="5711" spans="2:6">
      <c r="B5711" s="8"/>
      <c r="C5711" s="8"/>
      <c r="D5711" s="8"/>
      <c r="E5711" s="39"/>
      <c r="F5711" s="40"/>
    </row>
    <row r="5712" spans="2:6">
      <c r="B5712" s="8"/>
      <c r="C5712" s="8"/>
      <c r="D5712" s="8"/>
      <c r="E5712" s="39"/>
      <c r="F5712" s="40"/>
    </row>
    <row r="5713" spans="2:6">
      <c r="B5713" s="8"/>
      <c r="C5713" s="8"/>
      <c r="D5713" s="8"/>
      <c r="E5713" s="39"/>
      <c r="F5713" s="40"/>
    </row>
    <row r="5714" spans="2:6">
      <c r="B5714" s="8"/>
      <c r="C5714" s="8"/>
      <c r="D5714" s="8"/>
      <c r="E5714" s="39"/>
      <c r="F5714" s="40"/>
    </row>
    <row r="5715" spans="2:6">
      <c r="B5715" s="8"/>
      <c r="C5715" s="8"/>
      <c r="D5715" s="8"/>
      <c r="E5715" s="39"/>
      <c r="F5715" s="40"/>
    </row>
    <row r="5716" spans="2:6">
      <c r="B5716" s="8"/>
      <c r="C5716" s="8"/>
      <c r="D5716" s="8"/>
      <c r="E5716" s="39"/>
      <c r="F5716" s="40"/>
    </row>
    <row r="5717" spans="2:6">
      <c r="B5717" s="8"/>
      <c r="C5717" s="8"/>
      <c r="D5717" s="8"/>
      <c r="E5717" s="39"/>
      <c r="F5717" s="40"/>
    </row>
    <row r="5718" spans="2:6">
      <c r="B5718" s="8"/>
      <c r="C5718" s="8"/>
      <c r="D5718" s="8"/>
      <c r="E5718" s="39"/>
      <c r="F5718" s="40"/>
    </row>
    <row r="5719" spans="2:6">
      <c r="B5719" s="8"/>
      <c r="C5719" s="8"/>
      <c r="D5719" s="8"/>
      <c r="E5719" s="39"/>
      <c r="F5719" s="40"/>
    </row>
    <row r="5720" spans="2:6">
      <c r="B5720" s="8"/>
      <c r="C5720" s="8"/>
      <c r="D5720" s="8"/>
      <c r="E5720" s="39"/>
      <c r="F5720" s="40"/>
    </row>
    <row r="5721" spans="2:6">
      <c r="B5721" s="8"/>
      <c r="C5721" s="8"/>
      <c r="D5721" s="8"/>
      <c r="E5721" s="39"/>
      <c r="F5721" s="40"/>
    </row>
    <row r="5722" spans="2:6">
      <c r="B5722" s="8"/>
      <c r="C5722" s="8"/>
      <c r="D5722" s="8"/>
      <c r="E5722" s="39"/>
      <c r="F5722" s="40"/>
    </row>
    <row r="5723" spans="2:6">
      <c r="B5723" s="8"/>
      <c r="C5723" s="8"/>
      <c r="D5723" s="8"/>
      <c r="E5723" s="39"/>
      <c r="F5723" s="40"/>
    </row>
    <row r="5724" spans="2:6">
      <c r="B5724" s="8"/>
      <c r="C5724" s="8"/>
      <c r="D5724" s="8"/>
      <c r="E5724" s="39"/>
      <c r="F5724" s="40"/>
    </row>
    <row r="5725" spans="2:6">
      <c r="B5725" s="8"/>
      <c r="C5725" s="8"/>
      <c r="D5725" s="8"/>
      <c r="E5725" s="39"/>
      <c r="F5725" s="40"/>
    </row>
    <row r="5726" spans="2:6">
      <c r="B5726" s="8"/>
      <c r="C5726" s="8"/>
      <c r="D5726" s="8"/>
      <c r="E5726" s="39"/>
      <c r="F5726" s="40"/>
    </row>
    <row r="5727" spans="2:6">
      <c r="B5727" s="8"/>
      <c r="C5727" s="8"/>
      <c r="D5727" s="8"/>
      <c r="E5727" s="39"/>
      <c r="F5727" s="40"/>
    </row>
    <row r="5728" spans="2:6">
      <c r="B5728" s="8"/>
      <c r="C5728" s="8"/>
      <c r="D5728" s="8"/>
      <c r="E5728" s="39"/>
      <c r="F5728" s="40"/>
    </row>
    <row r="5729" spans="2:6">
      <c r="B5729" s="8"/>
      <c r="C5729" s="8"/>
      <c r="D5729" s="8"/>
      <c r="E5729" s="39"/>
      <c r="F5729" s="40"/>
    </row>
    <row r="5730" spans="2:6">
      <c r="B5730" s="8"/>
      <c r="C5730" s="8"/>
      <c r="D5730" s="8"/>
      <c r="E5730" s="39"/>
      <c r="F5730" s="40"/>
    </row>
    <row r="5731" spans="2:6">
      <c r="B5731" s="8"/>
      <c r="C5731" s="8"/>
      <c r="D5731" s="8"/>
      <c r="E5731" s="39"/>
      <c r="F5731" s="40"/>
    </row>
    <row r="5732" spans="2:6">
      <c r="B5732" s="8"/>
      <c r="C5732" s="8"/>
      <c r="D5732" s="8"/>
      <c r="E5732" s="39"/>
      <c r="F5732" s="40"/>
    </row>
    <row r="5733" spans="2:6">
      <c r="B5733" s="8"/>
      <c r="C5733" s="8"/>
      <c r="D5733" s="8"/>
      <c r="E5733" s="39"/>
      <c r="F5733" s="40"/>
    </row>
    <row r="5734" spans="2:6">
      <c r="B5734" s="8"/>
      <c r="C5734" s="8"/>
      <c r="D5734" s="8"/>
      <c r="E5734" s="39"/>
      <c r="F5734" s="40"/>
    </row>
    <row r="5735" spans="2:6">
      <c r="B5735" s="8"/>
      <c r="C5735" s="8"/>
      <c r="D5735" s="8"/>
      <c r="E5735" s="39"/>
      <c r="F5735" s="40"/>
    </row>
    <row r="5736" spans="2:6">
      <c r="B5736" s="8"/>
      <c r="C5736" s="8"/>
      <c r="D5736" s="8"/>
      <c r="E5736" s="39"/>
      <c r="F5736" s="40"/>
    </row>
    <row r="5737" spans="2:6">
      <c r="B5737" s="8"/>
      <c r="C5737" s="8"/>
      <c r="D5737" s="8"/>
      <c r="E5737" s="39"/>
      <c r="F5737" s="40"/>
    </row>
    <row r="5738" spans="2:6">
      <c r="B5738" s="8"/>
      <c r="C5738" s="8"/>
      <c r="D5738" s="8"/>
      <c r="E5738" s="39"/>
      <c r="F5738" s="40"/>
    </row>
    <row r="5739" spans="2:6">
      <c r="B5739" s="8"/>
      <c r="C5739" s="8"/>
      <c r="D5739" s="8"/>
      <c r="E5739" s="39"/>
      <c r="F5739" s="40"/>
    </row>
    <row r="5740" spans="2:6">
      <c r="B5740" s="8"/>
      <c r="C5740" s="8"/>
      <c r="D5740" s="8"/>
      <c r="E5740" s="39"/>
      <c r="F5740" s="40"/>
    </row>
    <row r="5741" spans="2:6">
      <c r="B5741" s="8"/>
      <c r="C5741" s="8"/>
      <c r="D5741" s="8"/>
      <c r="E5741" s="39"/>
      <c r="F5741" s="40"/>
    </row>
    <row r="5742" spans="2:6">
      <c r="B5742" s="8"/>
      <c r="C5742" s="8"/>
      <c r="D5742" s="8"/>
      <c r="E5742" s="39"/>
      <c r="F5742" s="40"/>
    </row>
    <row r="5743" spans="2:6">
      <c r="B5743" s="8"/>
      <c r="C5743" s="8"/>
      <c r="D5743" s="8"/>
      <c r="E5743" s="39"/>
      <c r="F5743" s="40"/>
    </row>
    <row r="5744" spans="2:6">
      <c r="B5744" s="8"/>
      <c r="C5744" s="8"/>
      <c r="D5744" s="8"/>
      <c r="E5744" s="39"/>
      <c r="F5744" s="40"/>
    </row>
    <row r="5745" spans="2:6">
      <c r="B5745" s="8"/>
      <c r="C5745" s="8"/>
      <c r="D5745" s="8"/>
      <c r="E5745" s="39"/>
      <c r="F5745" s="40"/>
    </row>
    <row r="5746" spans="2:6">
      <c r="B5746" s="8"/>
      <c r="C5746" s="8"/>
      <c r="D5746" s="8"/>
      <c r="E5746" s="39"/>
      <c r="F5746" s="40"/>
    </row>
    <row r="5747" spans="2:6">
      <c r="B5747" s="8"/>
      <c r="C5747" s="8"/>
      <c r="D5747" s="8"/>
      <c r="E5747" s="39"/>
      <c r="F5747" s="40"/>
    </row>
    <row r="5748" spans="2:6">
      <c r="B5748" s="8"/>
      <c r="C5748" s="8"/>
      <c r="D5748" s="8"/>
      <c r="E5748" s="39"/>
      <c r="F5748" s="40"/>
    </row>
    <row r="5749" spans="2:6">
      <c r="B5749" s="8"/>
      <c r="C5749" s="8"/>
      <c r="D5749" s="8"/>
      <c r="E5749" s="39"/>
      <c r="F5749" s="40"/>
    </row>
    <row r="5750" spans="2:6">
      <c r="B5750" s="8"/>
      <c r="C5750" s="8"/>
      <c r="D5750" s="8"/>
      <c r="E5750" s="39"/>
      <c r="F5750" s="40"/>
    </row>
    <row r="5751" spans="2:6">
      <c r="B5751" s="8"/>
      <c r="C5751" s="8"/>
      <c r="D5751" s="8"/>
      <c r="E5751" s="39"/>
      <c r="F5751" s="40"/>
    </row>
    <row r="5752" spans="2:6">
      <c r="B5752" s="8"/>
      <c r="C5752" s="8"/>
      <c r="D5752" s="8"/>
      <c r="E5752" s="39"/>
      <c r="F5752" s="40"/>
    </row>
    <row r="5753" spans="2:6">
      <c r="B5753" s="8"/>
      <c r="C5753" s="8"/>
      <c r="D5753" s="8"/>
      <c r="E5753" s="39"/>
      <c r="F5753" s="40"/>
    </row>
    <row r="5754" spans="2:6">
      <c r="B5754" s="8"/>
      <c r="C5754" s="8"/>
      <c r="D5754" s="8"/>
      <c r="E5754" s="39"/>
      <c r="F5754" s="40"/>
    </row>
    <row r="5755" spans="2:6">
      <c r="B5755" s="8"/>
      <c r="C5755" s="8"/>
      <c r="D5755" s="8"/>
      <c r="E5755" s="39"/>
      <c r="F5755" s="40"/>
    </row>
    <row r="5756" spans="2:6">
      <c r="B5756" s="8"/>
      <c r="C5756" s="8"/>
      <c r="D5756" s="8"/>
      <c r="E5756" s="39"/>
      <c r="F5756" s="40"/>
    </row>
    <row r="5757" spans="2:6">
      <c r="B5757" s="8"/>
      <c r="C5757" s="8"/>
      <c r="D5757" s="8"/>
      <c r="E5757" s="39"/>
      <c r="F5757" s="40"/>
    </row>
    <row r="5758" spans="2:6">
      <c r="B5758" s="8"/>
      <c r="C5758" s="8"/>
      <c r="D5758" s="8"/>
      <c r="E5758" s="39"/>
      <c r="F5758" s="40"/>
    </row>
    <row r="5759" spans="2:6">
      <c r="B5759" s="8"/>
      <c r="C5759" s="8"/>
      <c r="D5759" s="8"/>
      <c r="E5759" s="39"/>
      <c r="F5759" s="40"/>
    </row>
    <row r="5760" spans="2:6">
      <c r="B5760" s="8"/>
      <c r="C5760" s="8"/>
      <c r="D5760" s="8"/>
      <c r="E5760" s="39"/>
      <c r="F5760" s="40"/>
    </row>
    <row r="5761" spans="2:6">
      <c r="B5761" s="8"/>
      <c r="C5761" s="8"/>
      <c r="D5761" s="8"/>
      <c r="E5761" s="39"/>
      <c r="F5761" s="40"/>
    </row>
    <row r="5762" spans="2:6">
      <c r="B5762" s="8"/>
      <c r="C5762" s="8"/>
      <c r="D5762" s="8"/>
      <c r="E5762" s="39"/>
      <c r="F5762" s="40"/>
    </row>
    <row r="5763" spans="2:6">
      <c r="B5763" s="8"/>
      <c r="C5763" s="8"/>
      <c r="D5763" s="8"/>
      <c r="E5763" s="39"/>
      <c r="F5763" s="40"/>
    </row>
    <row r="5764" spans="2:6">
      <c r="B5764" s="8"/>
      <c r="C5764" s="8"/>
      <c r="D5764" s="8"/>
      <c r="E5764" s="39"/>
      <c r="F5764" s="40"/>
    </row>
    <row r="5765" spans="2:6">
      <c r="B5765" s="8"/>
      <c r="C5765" s="8"/>
      <c r="D5765" s="8"/>
      <c r="E5765" s="39"/>
      <c r="F5765" s="40"/>
    </row>
    <row r="5766" spans="2:6">
      <c r="B5766" s="8"/>
      <c r="C5766" s="8"/>
      <c r="D5766" s="8"/>
      <c r="E5766" s="39"/>
      <c r="F5766" s="40"/>
    </row>
    <row r="5767" spans="2:6">
      <c r="B5767" s="8"/>
      <c r="C5767" s="8"/>
      <c r="D5767" s="8"/>
      <c r="E5767" s="39"/>
      <c r="F5767" s="40"/>
    </row>
    <row r="5768" spans="2:6">
      <c r="B5768" s="8"/>
      <c r="C5768" s="8"/>
      <c r="D5768" s="8"/>
      <c r="E5768" s="39"/>
      <c r="F5768" s="40"/>
    </row>
    <row r="5769" spans="2:6">
      <c r="B5769" s="8"/>
      <c r="C5769" s="8"/>
      <c r="D5769" s="8"/>
      <c r="E5769" s="39"/>
      <c r="F5769" s="40"/>
    </row>
    <row r="5770" spans="2:6">
      <c r="B5770" s="8"/>
      <c r="C5770" s="8"/>
      <c r="D5770" s="8"/>
      <c r="E5770" s="39"/>
      <c r="F5770" s="40"/>
    </row>
    <row r="5771" spans="2:6">
      <c r="B5771" s="8"/>
      <c r="C5771" s="8"/>
      <c r="D5771" s="8"/>
      <c r="E5771" s="39"/>
      <c r="F5771" s="40"/>
    </row>
    <row r="5772" spans="2:6">
      <c r="B5772" s="8"/>
      <c r="C5772" s="8"/>
      <c r="D5772" s="8"/>
      <c r="E5772" s="39"/>
      <c r="F5772" s="40"/>
    </row>
    <row r="5773" spans="2:6">
      <c r="B5773" s="8"/>
      <c r="C5773" s="8"/>
      <c r="D5773" s="8"/>
      <c r="E5773" s="39"/>
      <c r="F5773" s="40"/>
    </row>
    <row r="5774" spans="2:6">
      <c r="B5774" s="8"/>
      <c r="C5774" s="8"/>
      <c r="D5774" s="8"/>
      <c r="E5774" s="39"/>
      <c r="F5774" s="40"/>
    </row>
    <row r="5775" spans="2:6">
      <c r="B5775" s="8"/>
      <c r="C5775" s="8"/>
      <c r="D5775" s="8"/>
      <c r="E5775" s="39"/>
      <c r="F5775" s="40"/>
    </row>
    <row r="5776" spans="2:6">
      <c r="B5776" s="8"/>
      <c r="C5776" s="8"/>
      <c r="D5776" s="8"/>
      <c r="E5776" s="39"/>
      <c r="F5776" s="40"/>
    </row>
    <row r="5777" spans="2:6">
      <c r="B5777" s="8"/>
      <c r="C5777" s="8"/>
      <c r="D5777" s="8"/>
      <c r="E5777" s="39"/>
      <c r="F5777" s="40"/>
    </row>
    <row r="5778" spans="2:6">
      <c r="B5778" s="8"/>
      <c r="C5778" s="8"/>
      <c r="D5778" s="8"/>
      <c r="E5778" s="39"/>
      <c r="F5778" s="40"/>
    </row>
    <row r="5779" spans="2:6">
      <c r="B5779" s="8"/>
      <c r="C5779" s="8"/>
      <c r="D5779" s="8"/>
      <c r="E5779" s="39"/>
      <c r="F5779" s="40"/>
    </row>
    <row r="5780" spans="2:6">
      <c r="B5780" s="8"/>
      <c r="C5780" s="8"/>
      <c r="D5780" s="8"/>
      <c r="E5780" s="39"/>
      <c r="F5780" s="40"/>
    </row>
    <row r="5781" spans="2:6">
      <c r="B5781" s="8"/>
      <c r="C5781" s="8"/>
      <c r="D5781" s="8"/>
      <c r="E5781" s="39"/>
      <c r="F5781" s="40"/>
    </row>
    <row r="5782" spans="2:6">
      <c r="B5782" s="8"/>
      <c r="C5782" s="8"/>
      <c r="D5782" s="8"/>
      <c r="E5782" s="39"/>
      <c r="F5782" s="40"/>
    </row>
    <row r="5783" spans="2:6">
      <c r="B5783" s="8"/>
      <c r="C5783" s="8"/>
      <c r="D5783" s="8"/>
      <c r="E5783" s="39"/>
      <c r="F5783" s="40"/>
    </row>
    <row r="5784" spans="2:6">
      <c r="B5784" s="8"/>
      <c r="C5784" s="8"/>
      <c r="D5784" s="8"/>
      <c r="E5784" s="39"/>
      <c r="F5784" s="40"/>
    </row>
    <row r="5785" spans="2:6">
      <c r="B5785" s="8"/>
      <c r="C5785" s="8"/>
      <c r="D5785" s="8"/>
      <c r="E5785" s="39"/>
      <c r="F5785" s="40"/>
    </row>
    <row r="5786" spans="2:6">
      <c r="B5786" s="8"/>
      <c r="C5786" s="8"/>
      <c r="D5786" s="8"/>
      <c r="E5786" s="39"/>
      <c r="F5786" s="40"/>
    </row>
    <row r="5787" spans="2:6">
      <c r="B5787" s="8"/>
      <c r="C5787" s="8"/>
      <c r="D5787" s="8"/>
      <c r="E5787" s="39"/>
      <c r="F5787" s="40"/>
    </row>
    <row r="5788" spans="2:6">
      <c r="B5788" s="8"/>
      <c r="C5788" s="8"/>
      <c r="D5788" s="8"/>
      <c r="E5788" s="39"/>
      <c r="F5788" s="40"/>
    </row>
    <row r="5789" spans="2:6">
      <c r="B5789" s="8"/>
      <c r="C5789" s="8"/>
      <c r="D5789" s="8"/>
      <c r="E5789" s="39"/>
      <c r="F5789" s="40"/>
    </row>
    <row r="5790" spans="2:6">
      <c r="B5790" s="8"/>
      <c r="C5790" s="8"/>
      <c r="D5790" s="8"/>
      <c r="E5790" s="39"/>
      <c r="F5790" s="40"/>
    </row>
    <row r="5791" spans="2:6">
      <c r="B5791" s="8"/>
      <c r="C5791" s="8"/>
      <c r="D5791" s="8"/>
      <c r="E5791" s="39"/>
      <c r="F5791" s="40"/>
    </row>
    <row r="5792" spans="2:6">
      <c r="B5792" s="8"/>
      <c r="C5792" s="8"/>
      <c r="D5792" s="8"/>
      <c r="E5792" s="39"/>
      <c r="F5792" s="40"/>
    </row>
    <row r="5793" spans="2:6">
      <c r="B5793" s="8"/>
      <c r="C5793" s="8"/>
      <c r="D5793" s="8"/>
      <c r="E5793" s="39"/>
      <c r="F5793" s="40"/>
    </row>
    <row r="5794" spans="2:6">
      <c r="B5794" s="8"/>
      <c r="C5794" s="8"/>
      <c r="D5794" s="8"/>
      <c r="E5794" s="39"/>
      <c r="F5794" s="40"/>
    </row>
    <row r="5795" spans="2:6">
      <c r="B5795" s="8"/>
      <c r="C5795" s="8"/>
      <c r="D5795" s="8"/>
      <c r="E5795" s="39"/>
      <c r="F5795" s="40"/>
    </row>
    <row r="5796" spans="2:6">
      <c r="B5796" s="8"/>
      <c r="C5796" s="8"/>
      <c r="D5796" s="8"/>
      <c r="E5796" s="39"/>
      <c r="F5796" s="40"/>
    </row>
    <row r="5797" spans="2:6">
      <c r="B5797" s="8"/>
      <c r="C5797" s="8"/>
      <c r="D5797" s="8"/>
      <c r="E5797" s="39"/>
      <c r="F5797" s="40"/>
    </row>
    <row r="5798" spans="2:6">
      <c r="B5798" s="8"/>
      <c r="C5798" s="8"/>
      <c r="D5798" s="8"/>
      <c r="E5798" s="39"/>
      <c r="F5798" s="40"/>
    </row>
    <row r="5799" spans="2:6">
      <c r="B5799" s="8"/>
      <c r="C5799" s="8"/>
      <c r="D5799" s="8"/>
      <c r="E5799" s="39"/>
      <c r="F5799" s="40"/>
    </row>
    <row r="5800" spans="2:6">
      <c r="B5800" s="8"/>
      <c r="C5800" s="8"/>
      <c r="D5800" s="8"/>
      <c r="E5800" s="39"/>
      <c r="F5800" s="40"/>
    </row>
    <row r="5801" spans="2:6">
      <c r="B5801" s="8"/>
      <c r="C5801" s="8"/>
      <c r="D5801" s="8"/>
      <c r="E5801" s="39"/>
      <c r="F5801" s="40"/>
    </row>
    <row r="5802" spans="2:6">
      <c r="B5802" s="8"/>
      <c r="C5802" s="8"/>
      <c r="D5802" s="8"/>
      <c r="E5802" s="39"/>
      <c r="F5802" s="40"/>
    </row>
    <row r="5803" spans="2:6">
      <c r="B5803" s="8"/>
      <c r="C5803" s="8"/>
      <c r="D5803" s="8"/>
      <c r="E5803" s="39"/>
      <c r="F5803" s="40"/>
    </row>
    <row r="5804" spans="2:6">
      <c r="B5804" s="8"/>
      <c r="C5804" s="8"/>
      <c r="D5804" s="8"/>
      <c r="E5804" s="39"/>
      <c r="F5804" s="40"/>
    </row>
    <row r="5805" spans="2:6">
      <c r="B5805" s="8"/>
      <c r="C5805" s="8"/>
      <c r="D5805" s="8"/>
      <c r="E5805" s="39"/>
      <c r="F5805" s="40"/>
    </row>
    <row r="5806" spans="2:6">
      <c r="B5806" s="8"/>
      <c r="C5806" s="8"/>
      <c r="D5806" s="8"/>
      <c r="E5806" s="39"/>
      <c r="F5806" s="40"/>
    </row>
    <row r="5807" spans="2:6">
      <c r="B5807" s="8"/>
      <c r="C5807" s="8"/>
      <c r="D5807" s="8"/>
      <c r="E5807" s="39"/>
      <c r="F5807" s="40"/>
    </row>
    <row r="5808" spans="2:6">
      <c r="B5808" s="8"/>
      <c r="C5808" s="8"/>
      <c r="D5808" s="8"/>
      <c r="E5808" s="39"/>
      <c r="F5808" s="40"/>
    </row>
    <row r="5809" spans="2:6">
      <c r="B5809" s="8"/>
      <c r="C5809" s="8"/>
      <c r="D5809" s="8"/>
      <c r="E5809" s="39"/>
      <c r="F5809" s="40"/>
    </row>
    <row r="5810" spans="2:6">
      <c r="B5810" s="8"/>
      <c r="C5810" s="8"/>
      <c r="D5810" s="8"/>
      <c r="E5810" s="39"/>
      <c r="F5810" s="40"/>
    </row>
    <row r="5811" spans="2:6">
      <c r="B5811" s="8"/>
      <c r="C5811" s="8"/>
      <c r="D5811" s="8"/>
      <c r="E5811" s="39"/>
      <c r="F5811" s="40"/>
    </row>
    <row r="5812" spans="2:6">
      <c r="B5812" s="8"/>
      <c r="C5812" s="8"/>
      <c r="D5812" s="8"/>
      <c r="E5812" s="39"/>
      <c r="F5812" s="40"/>
    </row>
    <row r="5813" spans="2:6">
      <c r="B5813" s="8"/>
      <c r="C5813" s="8"/>
      <c r="D5813" s="8"/>
      <c r="E5813" s="39"/>
      <c r="F5813" s="40"/>
    </row>
    <row r="5814" spans="2:6">
      <c r="B5814" s="8"/>
      <c r="C5814" s="8"/>
      <c r="D5814" s="8"/>
      <c r="E5814" s="39"/>
      <c r="F5814" s="40"/>
    </row>
    <row r="5815" spans="2:6">
      <c r="B5815" s="8"/>
      <c r="C5815" s="8"/>
      <c r="D5815" s="8"/>
      <c r="E5815" s="39"/>
      <c r="F5815" s="40"/>
    </row>
    <row r="5816" spans="2:6">
      <c r="B5816" s="8"/>
      <c r="C5816" s="8"/>
      <c r="D5816" s="8"/>
      <c r="E5816" s="39"/>
      <c r="F5816" s="40"/>
    </row>
    <row r="5817" spans="2:6">
      <c r="B5817" s="8"/>
      <c r="C5817" s="8"/>
      <c r="D5817" s="8"/>
      <c r="E5817" s="39"/>
      <c r="F5817" s="40"/>
    </row>
    <row r="5818" spans="2:6">
      <c r="B5818" s="8"/>
      <c r="C5818" s="8"/>
      <c r="D5818" s="8"/>
      <c r="E5818" s="39"/>
      <c r="F5818" s="40"/>
    </row>
    <row r="5819" spans="2:6">
      <c r="B5819" s="8"/>
      <c r="C5819" s="8"/>
      <c r="D5819" s="8"/>
      <c r="E5819" s="39"/>
      <c r="F5819" s="40"/>
    </row>
    <row r="5820" spans="2:6">
      <c r="B5820" s="8"/>
      <c r="C5820" s="8"/>
      <c r="D5820" s="8"/>
      <c r="E5820" s="39"/>
      <c r="F5820" s="40"/>
    </row>
    <row r="5821" spans="2:6">
      <c r="B5821" s="8"/>
      <c r="C5821" s="8"/>
      <c r="D5821" s="8"/>
      <c r="E5821" s="39"/>
      <c r="F5821" s="40"/>
    </row>
    <row r="5822" spans="2:6">
      <c r="B5822" s="8"/>
      <c r="C5822" s="8"/>
      <c r="D5822" s="8"/>
      <c r="E5822" s="39"/>
      <c r="F5822" s="40"/>
    </row>
    <row r="5823" spans="2:6">
      <c r="B5823" s="8"/>
      <c r="C5823" s="8"/>
      <c r="D5823" s="8"/>
      <c r="E5823" s="39"/>
      <c r="F5823" s="40"/>
    </row>
    <row r="5824" spans="2:6">
      <c r="B5824" s="8"/>
      <c r="C5824" s="8"/>
      <c r="D5824" s="8"/>
      <c r="E5824" s="39"/>
      <c r="F5824" s="40"/>
    </row>
    <row r="5825" spans="2:6">
      <c r="B5825" s="8"/>
      <c r="C5825" s="8"/>
      <c r="D5825" s="8"/>
      <c r="E5825" s="39"/>
      <c r="F5825" s="40"/>
    </row>
    <row r="5826" spans="2:6">
      <c r="B5826" s="8"/>
      <c r="C5826" s="8"/>
      <c r="D5826" s="8"/>
      <c r="E5826" s="39"/>
      <c r="F5826" s="40"/>
    </row>
    <row r="5827" spans="2:6">
      <c r="B5827" s="8"/>
      <c r="C5827" s="8"/>
      <c r="D5827" s="8"/>
      <c r="E5827" s="39"/>
      <c r="F5827" s="40"/>
    </row>
    <row r="5828" spans="2:6">
      <c r="B5828" s="8"/>
      <c r="C5828" s="8"/>
      <c r="D5828" s="8"/>
      <c r="E5828" s="39"/>
      <c r="F5828" s="40"/>
    </row>
    <row r="5829" spans="2:6">
      <c r="B5829" s="8"/>
      <c r="C5829" s="8"/>
      <c r="D5829" s="8"/>
      <c r="E5829" s="39"/>
      <c r="F5829" s="40"/>
    </row>
    <row r="5830" spans="2:6">
      <c r="B5830" s="8"/>
      <c r="C5830" s="8"/>
      <c r="D5830" s="8"/>
      <c r="E5830" s="39"/>
      <c r="F5830" s="40"/>
    </row>
    <row r="5831" spans="2:6">
      <c r="B5831" s="8"/>
      <c r="C5831" s="8"/>
      <c r="D5831" s="8"/>
      <c r="E5831" s="39"/>
      <c r="F5831" s="40"/>
    </row>
    <row r="5832" spans="2:6">
      <c r="B5832" s="8"/>
      <c r="C5832" s="8"/>
      <c r="D5832" s="8"/>
      <c r="E5832" s="39"/>
      <c r="F5832" s="40"/>
    </row>
    <row r="5833" spans="2:6">
      <c r="B5833" s="8"/>
      <c r="C5833" s="8"/>
      <c r="D5833" s="8"/>
      <c r="E5833" s="39"/>
      <c r="F5833" s="40"/>
    </row>
    <row r="5834" spans="2:6">
      <c r="B5834" s="8"/>
      <c r="C5834" s="8"/>
      <c r="D5834" s="8"/>
      <c r="E5834" s="39"/>
      <c r="F5834" s="40"/>
    </row>
    <row r="5835" spans="2:6">
      <c r="B5835" s="8"/>
      <c r="C5835" s="8"/>
      <c r="D5835" s="8"/>
      <c r="E5835" s="39"/>
      <c r="F5835" s="40"/>
    </row>
    <row r="5836" spans="2:6">
      <c r="B5836" s="8"/>
      <c r="C5836" s="8"/>
      <c r="D5836" s="8"/>
      <c r="E5836" s="39"/>
      <c r="F5836" s="40"/>
    </row>
    <row r="5837" spans="2:6">
      <c r="B5837" s="8"/>
      <c r="C5837" s="8"/>
      <c r="D5837" s="8"/>
      <c r="E5837" s="39"/>
      <c r="F5837" s="40"/>
    </row>
    <row r="5838" spans="2:6">
      <c r="B5838" s="8"/>
      <c r="C5838" s="8"/>
      <c r="D5838" s="8"/>
      <c r="E5838" s="39"/>
      <c r="F5838" s="40"/>
    </row>
    <row r="5839" spans="2:6">
      <c r="B5839" s="8"/>
      <c r="C5839" s="8"/>
      <c r="D5839" s="8"/>
      <c r="E5839" s="39"/>
      <c r="F5839" s="40"/>
    </row>
    <row r="5840" spans="2:6">
      <c r="B5840" s="8"/>
      <c r="C5840" s="8"/>
      <c r="D5840" s="8"/>
      <c r="E5840" s="39"/>
      <c r="F5840" s="40"/>
    </row>
    <row r="5841" spans="2:6">
      <c r="B5841" s="8"/>
      <c r="C5841" s="8"/>
      <c r="D5841" s="8"/>
      <c r="E5841" s="39"/>
      <c r="F5841" s="40"/>
    </row>
    <row r="5842" spans="2:6">
      <c r="B5842" s="8"/>
      <c r="C5842" s="8"/>
      <c r="D5842" s="8"/>
      <c r="E5842" s="39"/>
      <c r="F5842" s="40"/>
    </row>
    <row r="5843" spans="2:6">
      <c r="B5843" s="8"/>
      <c r="C5843" s="8"/>
      <c r="D5843" s="8"/>
      <c r="E5843" s="39"/>
      <c r="F5843" s="40"/>
    </row>
    <row r="5844" spans="2:6">
      <c r="B5844" s="8"/>
      <c r="C5844" s="8"/>
      <c r="D5844" s="8"/>
      <c r="E5844" s="39"/>
      <c r="F5844" s="40"/>
    </row>
    <row r="5845" spans="2:6">
      <c r="B5845" s="8"/>
      <c r="C5845" s="8"/>
      <c r="D5845" s="8"/>
      <c r="E5845" s="39"/>
      <c r="F5845" s="40"/>
    </row>
    <row r="5846" spans="2:6">
      <c r="B5846" s="8"/>
      <c r="C5846" s="8"/>
      <c r="D5846" s="8"/>
      <c r="E5846" s="39"/>
      <c r="F5846" s="40"/>
    </row>
    <row r="5847" spans="2:6">
      <c r="B5847" s="8"/>
      <c r="C5847" s="8"/>
      <c r="D5847" s="8"/>
      <c r="E5847" s="39"/>
      <c r="F5847" s="40"/>
    </row>
    <row r="5848" spans="2:6">
      <c r="B5848" s="8"/>
      <c r="C5848" s="8"/>
      <c r="D5848" s="8"/>
      <c r="E5848" s="39"/>
      <c r="F5848" s="40"/>
    </row>
    <row r="5849" spans="2:6">
      <c r="B5849" s="8"/>
      <c r="C5849" s="8"/>
      <c r="D5849" s="8"/>
      <c r="E5849" s="39"/>
      <c r="F5849" s="40"/>
    </row>
    <row r="5850" spans="2:6">
      <c r="B5850" s="8"/>
      <c r="C5850" s="8"/>
      <c r="D5850" s="8"/>
      <c r="E5850" s="39"/>
      <c r="F5850" s="40"/>
    </row>
    <row r="5851" spans="2:6">
      <c r="B5851" s="8"/>
      <c r="C5851" s="8"/>
      <c r="D5851" s="8"/>
      <c r="E5851" s="39"/>
      <c r="F5851" s="40"/>
    </row>
    <row r="5852" spans="2:6">
      <c r="B5852" s="8"/>
      <c r="C5852" s="8"/>
      <c r="D5852" s="8"/>
      <c r="E5852" s="39"/>
      <c r="F5852" s="40"/>
    </row>
    <row r="5853" spans="2:6">
      <c r="B5853" s="8"/>
      <c r="C5853" s="8"/>
      <c r="D5853" s="8"/>
      <c r="E5853" s="39"/>
      <c r="F5853" s="40"/>
    </row>
    <row r="5854" spans="2:6">
      <c r="B5854" s="8"/>
      <c r="C5854" s="8"/>
      <c r="D5854" s="8"/>
      <c r="E5854" s="39"/>
      <c r="F5854" s="40"/>
    </row>
    <row r="5855" spans="2:6">
      <c r="B5855" s="8"/>
      <c r="C5855" s="8"/>
      <c r="D5855" s="8"/>
      <c r="E5855" s="39"/>
      <c r="F5855" s="40"/>
    </row>
    <row r="5856" spans="2:6">
      <c r="B5856" s="8"/>
      <c r="C5856" s="8"/>
      <c r="D5856" s="8"/>
      <c r="E5856" s="39"/>
      <c r="F5856" s="40"/>
    </row>
    <row r="5857" spans="2:6">
      <c r="B5857" s="8"/>
      <c r="C5857" s="8"/>
      <c r="D5857" s="8"/>
      <c r="E5857" s="39"/>
      <c r="F5857" s="40"/>
    </row>
    <row r="5858" spans="2:6">
      <c r="B5858" s="8"/>
      <c r="C5858" s="8"/>
      <c r="D5858" s="8"/>
      <c r="E5858" s="39"/>
      <c r="F5858" s="40"/>
    </row>
    <row r="5859" spans="2:6">
      <c r="B5859" s="8"/>
      <c r="C5859" s="8"/>
      <c r="D5859" s="8"/>
      <c r="E5859" s="39"/>
      <c r="F5859" s="40"/>
    </row>
    <row r="5860" spans="2:6">
      <c r="B5860" s="8"/>
      <c r="C5860" s="8"/>
      <c r="D5860" s="8"/>
      <c r="E5860" s="39"/>
      <c r="F5860" s="40"/>
    </row>
    <row r="5861" spans="2:6">
      <c r="B5861" s="8"/>
      <c r="C5861" s="8"/>
      <c r="D5861" s="8"/>
      <c r="E5861" s="39"/>
      <c r="F5861" s="40"/>
    </row>
    <row r="5862" spans="2:6">
      <c r="B5862" s="8"/>
      <c r="C5862" s="8"/>
      <c r="D5862" s="8"/>
      <c r="E5862" s="39"/>
      <c r="F5862" s="40"/>
    </row>
    <row r="5863" spans="2:6">
      <c r="B5863" s="8"/>
      <c r="C5863" s="8"/>
      <c r="D5863" s="8"/>
      <c r="E5863" s="39"/>
      <c r="F5863" s="40"/>
    </row>
    <row r="5864" spans="2:6">
      <c r="B5864" s="8"/>
      <c r="C5864" s="8"/>
      <c r="D5864" s="8"/>
      <c r="E5864" s="39"/>
      <c r="F5864" s="40"/>
    </row>
    <row r="5865" spans="2:6">
      <c r="B5865" s="8"/>
      <c r="C5865" s="8"/>
      <c r="D5865" s="8"/>
      <c r="E5865" s="39"/>
      <c r="F5865" s="40"/>
    </row>
    <row r="5866" spans="2:6">
      <c r="B5866" s="8"/>
      <c r="C5866" s="8"/>
      <c r="D5866" s="8"/>
      <c r="E5866" s="39"/>
      <c r="F5866" s="40"/>
    </row>
    <row r="5867" spans="2:6">
      <c r="B5867" s="8"/>
      <c r="C5867" s="8"/>
      <c r="D5867" s="8"/>
      <c r="E5867" s="39"/>
      <c r="F5867" s="40"/>
    </row>
    <row r="5868" spans="2:6">
      <c r="B5868" s="8"/>
      <c r="C5868" s="8"/>
      <c r="D5868" s="8"/>
      <c r="E5868" s="39"/>
      <c r="F5868" s="40"/>
    </row>
    <row r="5869" spans="2:6">
      <c r="B5869" s="8"/>
      <c r="C5869" s="8"/>
      <c r="D5869" s="8"/>
      <c r="E5869" s="39"/>
      <c r="F5869" s="40"/>
    </row>
    <row r="5870" spans="2:6">
      <c r="B5870" s="8"/>
      <c r="C5870" s="8"/>
      <c r="D5870" s="8"/>
      <c r="E5870" s="39"/>
      <c r="F5870" s="40"/>
    </row>
    <row r="5871" spans="2:6">
      <c r="B5871" s="8"/>
      <c r="C5871" s="8"/>
      <c r="D5871" s="8"/>
      <c r="E5871" s="39"/>
      <c r="F5871" s="40"/>
    </row>
    <row r="5872" spans="2:6">
      <c r="B5872" s="8"/>
      <c r="C5872" s="8"/>
      <c r="D5872" s="8"/>
      <c r="E5872" s="39"/>
      <c r="F5872" s="40"/>
    </row>
    <row r="5873" spans="2:6">
      <c r="B5873" s="8"/>
      <c r="C5873" s="8"/>
      <c r="D5873" s="8"/>
      <c r="E5873" s="39"/>
      <c r="F5873" s="40"/>
    </row>
    <row r="5874" spans="2:6">
      <c r="B5874" s="8"/>
      <c r="C5874" s="8"/>
      <c r="D5874" s="8"/>
      <c r="E5874" s="39"/>
      <c r="F5874" s="40"/>
    </row>
    <row r="5875" spans="2:6">
      <c r="B5875" s="8"/>
      <c r="C5875" s="8"/>
      <c r="D5875" s="8"/>
      <c r="E5875" s="39"/>
      <c r="F5875" s="40"/>
    </row>
    <row r="5876" spans="2:6">
      <c r="B5876" s="8"/>
      <c r="C5876" s="8"/>
      <c r="D5876" s="8"/>
      <c r="E5876" s="39"/>
      <c r="F5876" s="40"/>
    </row>
    <row r="5877" spans="2:6">
      <c r="B5877" s="8"/>
      <c r="C5877" s="8"/>
      <c r="D5877" s="8"/>
      <c r="E5877" s="39"/>
      <c r="F5877" s="40"/>
    </row>
    <row r="5878" spans="2:6">
      <c r="B5878" s="8"/>
      <c r="C5878" s="8"/>
      <c r="D5878" s="8"/>
      <c r="E5878" s="39"/>
      <c r="F5878" s="40"/>
    </row>
    <row r="5879" spans="2:6">
      <c r="B5879" s="8"/>
      <c r="C5879" s="8"/>
      <c r="D5879" s="8"/>
      <c r="E5879" s="39"/>
      <c r="F5879" s="40"/>
    </row>
    <row r="5880" spans="2:6">
      <c r="B5880" s="8"/>
      <c r="C5880" s="8"/>
      <c r="D5880" s="8"/>
      <c r="E5880" s="39"/>
      <c r="F5880" s="40"/>
    </row>
    <row r="5881" spans="2:6">
      <c r="B5881" s="8"/>
      <c r="C5881" s="8"/>
      <c r="D5881" s="8"/>
      <c r="E5881" s="39"/>
      <c r="F5881" s="40"/>
    </row>
    <row r="5882" spans="2:6">
      <c r="B5882" s="8"/>
      <c r="C5882" s="8"/>
      <c r="D5882" s="8"/>
      <c r="E5882" s="39"/>
      <c r="F5882" s="40"/>
    </row>
    <row r="5883" spans="2:6">
      <c r="B5883" s="8"/>
      <c r="C5883" s="8"/>
      <c r="D5883" s="8"/>
      <c r="E5883" s="39"/>
      <c r="F5883" s="40"/>
    </row>
    <row r="5884" spans="2:6">
      <c r="B5884" s="8"/>
      <c r="C5884" s="8"/>
      <c r="D5884" s="8"/>
      <c r="E5884" s="39"/>
      <c r="F5884" s="40"/>
    </row>
    <row r="5885" spans="2:6">
      <c r="B5885" s="8"/>
      <c r="C5885" s="8"/>
      <c r="D5885" s="8"/>
      <c r="E5885" s="39"/>
      <c r="F5885" s="40"/>
    </row>
    <row r="5886" spans="2:6">
      <c r="B5886" s="8"/>
      <c r="C5886" s="8"/>
      <c r="D5886" s="8"/>
      <c r="E5886" s="39"/>
      <c r="F5886" s="40"/>
    </row>
    <row r="5887" spans="2:6">
      <c r="B5887" s="8"/>
      <c r="C5887" s="8"/>
      <c r="D5887" s="8"/>
      <c r="E5887" s="39"/>
      <c r="F5887" s="40"/>
    </row>
    <row r="5888" spans="2:6">
      <c r="B5888" s="8"/>
      <c r="C5888" s="8"/>
      <c r="D5888" s="8"/>
      <c r="E5888" s="39"/>
      <c r="F5888" s="40"/>
    </row>
    <row r="5889" spans="2:6">
      <c r="B5889" s="8"/>
      <c r="C5889" s="8"/>
      <c r="D5889" s="8"/>
      <c r="E5889" s="39"/>
      <c r="F5889" s="40"/>
    </row>
    <row r="5890" spans="2:6">
      <c r="B5890" s="8"/>
      <c r="C5890" s="8"/>
      <c r="D5890" s="8"/>
      <c r="E5890" s="39"/>
      <c r="F5890" s="40"/>
    </row>
    <row r="5891" spans="2:6">
      <c r="B5891" s="8"/>
      <c r="C5891" s="8"/>
      <c r="D5891" s="8"/>
      <c r="E5891" s="39"/>
      <c r="F5891" s="40"/>
    </row>
    <row r="5892" spans="2:6">
      <c r="B5892" s="8"/>
      <c r="C5892" s="8"/>
      <c r="D5892" s="8"/>
      <c r="E5892" s="39"/>
      <c r="F5892" s="40"/>
    </row>
    <row r="5893" spans="2:6">
      <c r="B5893" s="8"/>
      <c r="C5893" s="8"/>
      <c r="D5893" s="8"/>
      <c r="E5893" s="39"/>
      <c r="F5893" s="40"/>
    </row>
    <row r="5894" spans="2:6">
      <c r="B5894" s="8"/>
      <c r="C5894" s="8"/>
      <c r="D5894" s="8"/>
      <c r="E5894" s="39"/>
      <c r="F5894" s="40"/>
    </row>
    <row r="5895" spans="2:6">
      <c r="B5895" s="8"/>
      <c r="C5895" s="8"/>
      <c r="D5895" s="8"/>
      <c r="E5895" s="39"/>
      <c r="F5895" s="40"/>
    </row>
    <row r="5896" spans="2:6">
      <c r="B5896" s="8"/>
      <c r="C5896" s="8"/>
      <c r="D5896" s="8"/>
      <c r="E5896" s="39"/>
      <c r="F5896" s="40"/>
    </row>
    <row r="5897" spans="2:6">
      <c r="B5897" s="8"/>
      <c r="C5897" s="8"/>
      <c r="D5897" s="8"/>
      <c r="E5897" s="39"/>
      <c r="F5897" s="40"/>
    </row>
    <row r="5898" spans="2:6">
      <c r="B5898" s="8"/>
      <c r="C5898" s="8"/>
      <c r="D5898" s="8"/>
      <c r="E5898" s="39"/>
      <c r="F5898" s="40"/>
    </row>
    <row r="5899" spans="2:6">
      <c r="B5899" s="8"/>
      <c r="C5899" s="8"/>
      <c r="D5899" s="8"/>
      <c r="E5899" s="39"/>
      <c r="F5899" s="40"/>
    </row>
    <row r="5900" spans="2:6">
      <c r="B5900" s="8"/>
      <c r="C5900" s="8"/>
      <c r="D5900" s="8"/>
      <c r="E5900" s="39"/>
      <c r="F5900" s="40"/>
    </row>
    <row r="5901" spans="2:6">
      <c r="B5901" s="8"/>
      <c r="C5901" s="8"/>
      <c r="D5901" s="8"/>
      <c r="E5901" s="39"/>
      <c r="F5901" s="40"/>
    </row>
    <row r="5902" spans="2:6">
      <c r="B5902" s="8"/>
      <c r="C5902" s="8"/>
      <c r="D5902" s="8"/>
      <c r="E5902" s="39"/>
      <c r="F5902" s="40"/>
    </row>
    <row r="5903" spans="2:6">
      <c r="B5903" s="8"/>
      <c r="C5903" s="8"/>
      <c r="D5903" s="8"/>
      <c r="E5903" s="39"/>
      <c r="F5903" s="40"/>
    </row>
    <row r="5904" spans="2:6">
      <c r="B5904" s="8"/>
      <c r="C5904" s="8"/>
      <c r="D5904" s="8"/>
      <c r="E5904" s="39"/>
      <c r="F5904" s="40"/>
    </row>
    <row r="5905" spans="2:6">
      <c r="B5905" s="8"/>
      <c r="C5905" s="8"/>
      <c r="D5905" s="8"/>
      <c r="E5905" s="39"/>
      <c r="F5905" s="40"/>
    </row>
    <row r="5906" spans="2:6">
      <c r="B5906" s="8"/>
      <c r="C5906" s="8"/>
      <c r="D5906" s="8"/>
      <c r="E5906" s="39"/>
      <c r="F5906" s="40"/>
    </row>
    <row r="5907" spans="2:6">
      <c r="B5907" s="8"/>
      <c r="C5907" s="8"/>
      <c r="D5907" s="8"/>
      <c r="E5907" s="39"/>
      <c r="F5907" s="40"/>
    </row>
    <row r="5908" spans="2:6">
      <c r="B5908" s="8"/>
      <c r="C5908" s="8"/>
      <c r="D5908" s="8"/>
      <c r="E5908" s="39"/>
      <c r="F5908" s="40"/>
    </row>
    <row r="5909" spans="2:6">
      <c r="B5909" s="8"/>
      <c r="C5909" s="8"/>
      <c r="D5909" s="8"/>
      <c r="E5909" s="39"/>
      <c r="F5909" s="40"/>
    </row>
    <row r="5910" spans="2:6">
      <c r="B5910" s="8"/>
      <c r="C5910" s="8"/>
      <c r="D5910" s="8"/>
      <c r="E5910" s="39"/>
      <c r="F5910" s="40"/>
    </row>
    <row r="5911" spans="2:6">
      <c r="B5911" s="8"/>
      <c r="C5911" s="8"/>
      <c r="D5911" s="8"/>
      <c r="E5911" s="39"/>
      <c r="F5911" s="40"/>
    </row>
    <row r="5912" spans="2:6">
      <c r="B5912" s="8"/>
      <c r="C5912" s="8"/>
      <c r="D5912" s="8"/>
      <c r="E5912" s="39"/>
      <c r="F5912" s="40"/>
    </row>
    <row r="5913" spans="2:6">
      <c r="B5913" s="8"/>
      <c r="C5913" s="8"/>
      <c r="D5913" s="8"/>
      <c r="E5913" s="39"/>
      <c r="F5913" s="40"/>
    </row>
    <row r="5914" spans="2:6">
      <c r="B5914" s="8"/>
      <c r="C5914" s="8"/>
      <c r="D5914" s="8"/>
      <c r="E5914" s="39"/>
      <c r="F5914" s="40"/>
    </row>
    <row r="5915" spans="2:6">
      <c r="B5915" s="8"/>
      <c r="C5915" s="8"/>
      <c r="D5915" s="8"/>
      <c r="E5915" s="39"/>
      <c r="F5915" s="40"/>
    </row>
    <row r="5916" spans="2:6">
      <c r="B5916" s="8"/>
      <c r="C5916" s="8"/>
      <c r="D5916" s="8"/>
      <c r="E5916" s="39"/>
      <c r="F5916" s="40"/>
    </row>
    <row r="5917" spans="2:6">
      <c r="B5917" s="8"/>
      <c r="C5917" s="8"/>
      <c r="D5917" s="8"/>
      <c r="E5917" s="39"/>
      <c r="F5917" s="40"/>
    </row>
    <row r="5918" spans="2:6">
      <c r="B5918" s="8"/>
      <c r="C5918" s="8"/>
      <c r="D5918" s="8"/>
      <c r="E5918" s="39"/>
      <c r="F5918" s="40"/>
    </row>
    <row r="5919" spans="2:6">
      <c r="B5919" s="8"/>
      <c r="C5919" s="8"/>
      <c r="D5919" s="8"/>
      <c r="E5919" s="39"/>
      <c r="F5919" s="40"/>
    </row>
    <row r="5920" spans="2:6">
      <c r="B5920" s="8"/>
      <c r="C5920" s="8"/>
      <c r="D5920" s="8"/>
      <c r="E5920" s="39"/>
      <c r="F5920" s="40"/>
    </row>
    <row r="5921" spans="2:6">
      <c r="B5921" s="8"/>
      <c r="C5921" s="8"/>
      <c r="D5921" s="8"/>
      <c r="E5921" s="39"/>
      <c r="F5921" s="40"/>
    </row>
    <row r="5922" spans="2:6">
      <c r="B5922" s="8"/>
      <c r="C5922" s="8"/>
      <c r="D5922" s="8"/>
      <c r="E5922" s="39"/>
      <c r="F5922" s="40"/>
    </row>
    <row r="5923" spans="2:6">
      <c r="B5923" s="8"/>
      <c r="C5923" s="8"/>
      <c r="D5923" s="8"/>
      <c r="E5923" s="39"/>
      <c r="F5923" s="40"/>
    </row>
    <row r="5924" spans="2:6">
      <c r="B5924" s="8"/>
      <c r="C5924" s="8"/>
      <c r="D5924" s="8"/>
      <c r="E5924" s="39"/>
      <c r="F5924" s="40"/>
    </row>
    <row r="5925" spans="2:6">
      <c r="B5925" s="8"/>
      <c r="C5925" s="8"/>
      <c r="D5925" s="8"/>
      <c r="E5925" s="39"/>
      <c r="F5925" s="40"/>
    </row>
    <row r="5926" spans="2:6">
      <c r="B5926" s="8"/>
      <c r="C5926" s="8"/>
      <c r="D5926" s="8"/>
      <c r="E5926" s="39"/>
      <c r="F5926" s="40"/>
    </row>
    <row r="5927" spans="2:6">
      <c r="B5927" s="8"/>
      <c r="C5927" s="8"/>
      <c r="D5927" s="8"/>
      <c r="E5927" s="39"/>
      <c r="F5927" s="40"/>
    </row>
    <row r="5928" spans="2:6">
      <c r="B5928" s="8"/>
      <c r="C5928" s="8"/>
      <c r="D5928" s="8"/>
      <c r="E5928" s="39"/>
      <c r="F5928" s="40"/>
    </row>
    <row r="5929" spans="2:6">
      <c r="B5929" s="8"/>
      <c r="C5929" s="8"/>
      <c r="D5929" s="8"/>
      <c r="E5929" s="39"/>
      <c r="F5929" s="40"/>
    </row>
    <row r="5930" spans="2:6">
      <c r="B5930" s="8"/>
      <c r="C5930" s="8"/>
      <c r="D5930" s="8"/>
      <c r="E5930" s="39"/>
      <c r="F5930" s="40"/>
    </row>
    <row r="5931" spans="2:6">
      <c r="B5931" s="8"/>
      <c r="C5931" s="8"/>
      <c r="D5931" s="8"/>
      <c r="E5931" s="39"/>
      <c r="F5931" s="40"/>
    </row>
    <row r="5932" spans="2:6">
      <c r="B5932" s="8"/>
      <c r="C5932" s="8"/>
      <c r="D5932" s="8"/>
      <c r="E5932" s="39"/>
      <c r="F5932" s="40"/>
    </row>
    <row r="5933" spans="2:6">
      <c r="B5933" s="8"/>
      <c r="C5933" s="8"/>
      <c r="D5933" s="8"/>
      <c r="E5933" s="39"/>
      <c r="F5933" s="40"/>
    </row>
    <row r="5934" spans="2:6">
      <c r="B5934" s="8"/>
      <c r="C5934" s="8"/>
      <c r="D5934" s="8"/>
      <c r="E5934" s="39"/>
      <c r="F5934" s="40"/>
    </row>
    <row r="5935" spans="2:6">
      <c r="B5935" s="8"/>
      <c r="C5935" s="8"/>
      <c r="D5935" s="8"/>
      <c r="E5935" s="39"/>
      <c r="F5935" s="40"/>
    </row>
    <row r="5936" spans="2:6">
      <c r="B5936" s="8"/>
      <c r="C5936" s="8"/>
      <c r="D5936" s="8"/>
      <c r="E5936" s="39"/>
      <c r="F5936" s="40"/>
    </row>
    <row r="5937" spans="2:6">
      <c r="B5937" s="8"/>
      <c r="C5937" s="8"/>
      <c r="D5937" s="8"/>
      <c r="E5937" s="39"/>
      <c r="F5937" s="40"/>
    </row>
    <row r="5938" spans="2:6">
      <c r="B5938" s="8"/>
      <c r="C5938" s="8"/>
      <c r="D5938" s="8"/>
      <c r="E5938" s="39"/>
      <c r="F5938" s="40"/>
    </row>
    <row r="5939" spans="2:6">
      <c r="B5939" s="8"/>
      <c r="C5939" s="8"/>
      <c r="D5939" s="8"/>
      <c r="E5939" s="39"/>
      <c r="F5939" s="40"/>
    </row>
    <row r="5940" spans="2:6">
      <c r="B5940" s="8"/>
      <c r="C5940" s="8"/>
      <c r="D5940" s="8"/>
      <c r="E5940" s="39"/>
      <c r="F5940" s="40"/>
    </row>
    <row r="5941" spans="2:6">
      <c r="B5941" s="8"/>
      <c r="C5941" s="8"/>
      <c r="D5941" s="8"/>
      <c r="E5941" s="39"/>
      <c r="F5941" s="40"/>
    </row>
    <row r="5942" spans="2:6">
      <c r="B5942" s="8"/>
      <c r="C5942" s="8"/>
      <c r="D5942" s="8"/>
      <c r="E5942" s="39"/>
      <c r="F5942" s="40"/>
    </row>
    <row r="5943" spans="2:6">
      <c r="B5943" s="8"/>
      <c r="C5943" s="8"/>
      <c r="D5943" s="8"/>
      <c r="E5943" s="39"/>
      <c r="F5943" s="40"/>
    </row>
    <row r="5944" spans="2:6">
      <c r="B5944" s="8"/>
      <c r="C5944" s="8"/>
      <c r="D5944" s="8"/>
      <c r="E5944" s="39"/>
      <c r="F5944" s="40"/>
    </row>
    <row r="5945" spans="2:6">
      <c r="B5945" s="8"/>
      <c r="C5945" s="8"/>
      <c r="D5945" s="8"/>
      <c r="E5945" s="39"/>
      <c r="F5945" s="40"/>
    </row>
    <row r="5946" spans="2:6">
      <c r="B5946" s="8"/>
      <c r="C5946" s="8"/>
      <c r="D5946" s="8"/>
      <c r="E5946" s="39"/>
      <c r="F5946" s="40"/>
    </row>
    <row r="5947" spans="2:6">
      <c r="B5947" s="8"/>
      <c r="C5947" s="8"/>
      <c r="D5947" s="8"/>
      <c r="E5947" s="39"/>
      <c r="F5947" s="40"/>
    </row>
    <row r="5948" spans="2:6">
      <c r="B5948" s="8"/>
      <c r="C5948" s="8"/>
      <c r="D5948" s="8"/>
      <c r="E5948" s="39"/>
      <c r="F5948" s="40"/>
    </row>
    <row r="5949" spans="2:6">
      <c r="B5949" s="8"/>
      <c r="C5949" s="8"/>
      <c r="D5949" s="8"/>
      <c r="E5949" s="39"/>
      <c r="F5949" s="40"/>
    </row>
    <row r="5950" spans="2:6">
      <c r="B5950" s="8"/>
      <c r="C5950" s="8"/>
      <c r="D5950" s="8"/>
      <c r="E5950" s="39"/>
      <c r="F5950" s="40"/>
    </row>
    <row r="5951" spans="2:6">
      <c r="B5951" s="8"/>
      <c r="C5951" s="8"/>
      <c r="D5951" s="8"/>
      <c r="E5951" s="39"/>
      <c r="F5951" s="40"/>
    </row>
    <row r="5952" spans="2:6">
      <c r="B5952" s="8"/>
      <c r="C5952" s="8"/>
      <c r="D5952" s="8"/>
      <c r="E5952" s="39"/>
      <c r="F5952" s="40"/>
    </row>
    <row r="5953" spans="2:6">
      <c r="B5953" s="8"/>
      <c r="C5953" s="8"/>
      <c r="D5953" s="8"/>
      <c r="E5953" s="39"/>
      <c r="F5953" s="40"/>
    </row>
    <row r="5954" spans="2:6">
      <c r="B5954" s="8"/>
      <c r="C5954" s="8"/>
      <c r="D5954" s="8"/>
      <c r="E5954" s="39"/>
      <c r="F5954" s="40"/>
    </row>
    <row r="5955" spans="2:6">
      <c r="B5955" s="8"/>
      <c r="C5955" s="8"/>
      <c r="D5955" s="8"/>
      <c r="E5955" s="39"/>
      <c r="F5955" s="40"/>
    </row>
    <row r="5956" spans="2:6">
      <c r="B5956" s="8"/>
      <c r="C5956" s="8"/>
      <c r="D5956" s="8"/>
      <c r="E5956" s="39"/>
      <c r="F5956" s="40"/>
    </row>
    <row r="5957" spans="2:6">
      <c r="B5957" s="8"/>
      <c r="C5957" s="8"/>
      <c r="D5957" s="8"/>
      <c r="E5957" s="39"/>
      <c r="F5957" s="40"/>
    </row>
    <row r="5958" spans="2:6">
      <c r="B5958" s="8"/>
      <c r="C5958" s="8"/>
      <c r="D5958" s="8"/>
      <c r="E5958" s="39"/>
      <c r="F5958" s="40"/>
    </row>
    <row r="5959" spans="2:6">
      <c r="B5959" s="8"/>
      <c r="C5959" s="8"/>
      <c r="D5959" s="8"/>
      <c r="E5959" s="39"/>
      <c r="F5959" s="40"/>
    </row>
    <row r="5960" spans="2:6">
      <c r="B5960" s="8"/>
      <c r="C5960" s="8"/>
      <c r="D5960" s="8"/>
      <c r="E5960" s="39"/>
      <c r="F5960" s="40"/>
    </row>
    <row r="5961" spans="2:6">
      <c r="B5961" s="8"/>
      <c r="C5961" s="8"/>
      <c r="D5961" s="8"/>
      <c r="E5961" s="39"/>
      <c r="F5961" s="40"/>
    </row>
    <row r="5962" spans="2:6">
      <c r="B5962" s="8"/>
      <c r="C5962" s="8"/>
      <c r="D5962" s="8"/>
      <c r="E5962" s="39"/>
      <c r="F5962" s="40"/>
    </row>
    <row r="5963" spans="2:6">
      <c r="B5963" s="8"/>
      <c r="C5963" s="8"/>
      <c r="D5963" s="8"/>
      <c r="E5963" s="39"/>
      <c r="F5963" s="40"/>
    </row>
    <row r="5964" spans="2:6">
      <c r="B5964" s="8"/>
      <c r="C5964" s="8"/>
      <c r="D5964" s="8"/>
      <c r="E5964" s="39"/>
      <c r="F5964" s="40"/>
    </row>
    <row r="5965" spans="2:6">
      <c r="B5965" s="8"/>
      <c r="C5965" s="8"/>
      <c r="D5965" s="8"/>
      <c r="E5965" s="39"/>
      <c r="F5965" s="40"/>
    </row>
    <row r="5966" spans="2:6">
      <c r="B5966" s="8"/>
      <c r="C5966" s="8"/>
      <c r="D5966" s="8"/>
      <c r="E5966" s="39"/>
      <c r="F5966" s="40"/>
    </row>
    <row r="5967" spans="2:6">
      <c r="B5967" s="8"/>
      <c r="C5967" s="8"/>
      <c r="D5967" s="8"/>
      <c r="E5967" s="39"/>
      <c r="F5967" s="40"/>
    </row>
    <row r="5968" spans="2:6">
      <c r="B5968" s="8"/>
      <c r="C5968" s="8"/>
      <c r="D5968" s="8"/>
      <c r="E5968" s="39"/>
      <c r="F5968" s="40"/>
    </row>
    <row r="5969" spans="2:6">
      <c r="B5969" s="8"/>
      <c r="C5969" s="8"/>
      <c r="D5969" s="8"/>
      <c r="E5969" s="39"/>
      <c r="F5969" s="40"/>
    </row>
    <row r="5970" spans="2:6">
      <c r="B5970" s="8"/>
      <c r="C5970" s="8"/>
      <c r="D5970" s="8"/>
      <c r="E5970" s="39"/>
      <c r="F5970" s="40"/>
    </row>
    <row r="5971" spans="2:6">
      <c r="B5971" s="8"/>
      <c r="C5971" s="8"/>
      <c r="D5971" s="8"/>
      <c r="E5971" s="39"/>
      <c r="F5971" s="40"/>
    </row>
    <row r="5972" spans="2:6">
      <c r="B5972" s="8"/>
      <c r="C5972" s="8"/>
      <c r="D5972" s="8"/>
      <c r="E5972" s="39"/>
      <c r="F5972" s="40"/>
    </row>
    <row r="5973" spans="2:6">
      <c r="B5973" s="8"/>
      <c r="C5973" s="8"/>
      <c r="D5973" s="8"/>
      <c r="E5973" s="39"/>
      <c r="F5973" s="40"/>
    </row>
    <row r="5974" spans="2:6">
      <c r="B5974" s="8"/>
      <c r="C5974" s="8"/>
      <c r="D5974" s="8"/>
      <c r="E5974" s="39"/>
      <c r="F5974" s="40"/>
    </row>
    <row r="5975" spans="2:6">
      <c r="B5975" s="8"/>
      <c r="C5975" s="8"/>
      <c r="D5975" s="8"/>
      <c r="E5975" s="39"/>
      <c r="F5975" s="40"/>
    </row>
    <row r="5976" spans="2:6">
      <c r="B5976" s="8"/>
      <c r="C5976" s="8"/>
      <c r="D5976" s="8"/>
      <c r="E5976" s="39"/>
      <c r="F5976" s="40"/>
    </row>
    <row r="5977" spans="2:6">
      <c r="B5977" s="8"/>
      <c r="C5977" s="8"/>
      <c r="D5977" s="8"/>
      <c r="E5977" s="39"/>
      <c r="F5977" s="40"/>
    </row>
    <row r="5978" spans="2:6">
      <c r="B5978" s="8"/>
      <c r="C5978" s="8"/>
      <c r="D5978" s="8"/>
      <c r="E5978" s="39"/>
      <c r="F5978" s="40"/>
    </row>
    <row r="5979" spans="2:6">
      <c r="B5979" s="8"/>
      <c r="C5979" s="8"/>
      <c r="D5979" s="8"/>
      <c r="E5979" s="39"/>
      <c r="F5979" s="40"/>
    </row>
    <row r="5980" spans="2:6">
      <c r="B5980" s="8"/>
      <c r="C5980" s="8"/>
      <c r="D5980" s="8"/>
      <c r="E5980" s="39"/>
      <c r="F5980" s="40"/>
    </row>
    <row r="5981" spans="2:6">
      <c r="B5981" s="8"/>
      <c r="C5981" s="8"/>
      <c r="D5981" s="8"/>
      <c r="E5981" s="39"/>
      <c r="F5981" s="40"/>
    </row>
    <row r="5982" spans="2:6">
      <c r="B5982" s="8"/>
      <c r="C5982" s="8"/>
      <c r="D5982" s="8"/>
      <c r="E5982" s="39"/>
      <c r="F5982" s="40"/>
    </row>
    <row r="5983" spans="2:6">
      <c r="B5983" s="8"/>
      <c r="C5983" s="8"/>
      <c r="D5983" s="8"/>
      <c r="E5983" s="39"/>
      <c r="F5983" s="40"/>
    </row>
    <row r="5984" spans="2:6">
      <c r="B5984" s="8"/>
      <c r="C5984" s="8"/>
      <c r="D5984" s="8"/>
      <c r="E5984" s="39"/>
      <c r="F5984" s="40"/>
    </row>
    <row r="5985" spans="2:6">
      <c r="B5985" s="8"/>
      <c r="C5985" s="8"/>
      <c r="D5985" s="8"/>
      <c r="E5985" s="39"/>
      <c r="F5985" s="40"/>
    </row>
    <row r="5986" spans="2:6">
      <c r="B5986" s="8"/>
      <c r="C5986" s="8"/>
      <c r="D5986" s="8"/>
      <c r="E5986" s="39"/>
      <c r="F5986" s="40"/>
    </row>
    <row r="5987" spans="2:6">
      <c r="B5987" s="8"/>
      <c r="C5987" s="8"/>
      <c r="D5987" s="8"/>
      <c r="E5987" s="39"/>
      <c r="F5987" s="40"/>
    </row>
    <row r="5988" spans="2:6">
      <c r="B5988" s="8"/>
      <c r="C5988" s="8"/>
      <c r="D5988" s="8"/>
      <c r="E5988" s="39"/>
      <c r="F5988" s="40"/>
    </row>
    <row r="5989" spans="2:6">
      <c r="B5989" s="8"/>
      <c r="C5989" s="8"/>
      <c r="D5989" s="8"/>
      <c r="E5989" s="39"/>
      <c r="F5989" s="40"/>
    </row>
    <row r="5990" spans="2:6">
      <c r="B5990" s="8"/>
      <c r="C5990" s="8"/>
      <c r="D5990" s="8"/>
      <c r="E5990" s="39"/>
      <c r="F5990" s="40"/>
    </row>
    <row r="5991" spans="2:6">
      <c r="B5991" s="8"/>
      <c r="C5991" s="8"/>
      <c r="D5991" s="8"/>
      <c r="E5991" s="39"/>
      <c r="F5991" s="40"/>
    </row>
    <row r="5992" spans="2:6">
      <c r="B5992" s="8"/>
      <c r="C5992" s="8"/>
      <c r="D5992" s="8"/>
      <c r="E5992" s="39"/>
      <c r="F5992" s="40"/>
    </row>
    <row r="5993" spans="2:6">
      <c r="B5993" s="8"/>
      <c r="C5993" s="8"/>
      <c r="D5993" s="8"/>
      <c r="E5993" s="39"/>
      <c r="F5993" s="40"/>
    </row>
    <row r="5994" spans="2:6">
      <c r="B5994" s="8"/>
      <c r="C5994" s="8"/>
      <c r="D5994" s="8"/>
      <c r="E5994" s="39"/>
      <c r="F5994" s="40"/>
    </row>
    <row r="5995" spans="2:6">
      <c r="B5995" s="8"/>
      <c r="C5995" s="8"/>
      <c r="D5995" s="8"/>
      <c r="E5995" s="39"/>
      <c r="F5995" s="40"/>
    </row>
    <row r="5996" spans="2:6">
      <c r="B5996" s="8"/>
      <c r="C5996" s="8"/>
      <c r="D5996" s="8"/>
      <c r="E5996" s="39"/>
      <c r="F5996" s="40"/>
    </row>
    <row r="5997" spans="2:6">
      <c r="B5997" s="8"/>
      <c r="C5997" s="8"/>
      <c r="D5997" s="8"/>
      <c r="E5997" s="39"/>
      <c r="F5997" s="40"/>
    </row>
    <row r="5998" spans="2:6">
      <c r="B5998" s="8"/>
      <c r="C5998" s="8"/>
      <c r="D5998" s="8"/>
      <c r="E5998" s="39"/>
      <c r="F5998" s="40"/>
    </row>
    <row r="5999" spans="2:6">
      <c r="B5999" s="8"/>
      <c r="C5999" s="8"/>
      <c r="D5999" s="8"/>
      <c r="E5999" s="39"/>
      <c r="F5999" s="40"/>
    </row>
    <row r="6000" spans="2:6">
      <c r="B6000" s="8"/>
      <c r="C6000" s="8"/>
      <c r="D6000" s="8"/>
      <c r="E6000" s="39"/>
      <c r="F6000" s="40"/>
    </row>
    <row r="6001" spans="2:6">
      <c r="B6001" s="8"/>
      <c r="C6001" s="8"/>
      <c r="D6001" s="8"/>
      <c r="E6001" s="39"/>
      <c r="F6001" s="40"/>
    </row>
    <row r="6002" spans="2:6">
      <c r="B6002" s="8"/>
      <c r="C6002" s="8"/>
      <c r="D6002" s="8"/>
      <c r="E6002" s="39"/>
      <c r="F6002" s="40"/>
    </row>
    <row r="6003" spans="2:6">
      <c r="B6003" s="8"/>
      <c r="C6003" s="8"/>
      <c r="D6003" s="8"/>
      <c r="E6003" s="39"/>
      <c r="F6003" s="40"/>
    </row>
    <row r="6004" spans="2:6">
      <c r="B6004" s="8"/>
      <c r="C6004" s="8"/>
      <c r="D6004" s="8"/>
      <c r="E6004" s="39"/>
      <c r="F6004" s="40"/>
    </row>
    <row r="6005" spans="2:6">
      <c r="B6005" s="8"/>
      <c r="C6005" s="8"/>
      <c r="D6005" s="8"/>
      <c r="E6005" s="39"/>
      <c r="F6005" s="40"/>
    </row>
    <row r="6006" spans="2:6">
      <c r="B6006" s="8"/>
      <c r="C6006" s="8"/>
      <c r="D6006" s="8"/>
      <c r="E6006" s="39"/>
      <c r="F6006" s="40"/>
    </row>
    <row r="6007" spans="2:6">
      <c r="B6007" s="8"/>
      <c r="C6007" s="8"/>
      <c r="D6007" s="8"/>
      <c r="E6007" s="39"/>
      <c r="F6007" s="40"/>
    </row>
    <row r="6008" spans="2:6">
      <c r="B6008" s="8"/>
      <c r="C6008" s="8"/>
      <c r="D6008" s="8"/>
      <c r="E6008" s="39"/>
      <c r="F6008" s="40"/>
    </row>
    <row r="6009" spans="2:6">
      <c r="B6009" s="8"/>
      <c r="C6009" s="8"/>
      <c r="D6009" s="8"/>
      <c r="E6009" s="39"/>
      <c r="F6009" s="40"/>
    </row>
    <row r="6010" spans="2:6">
      <c r="B6010" s="8"/>
      <c r="C6010" s="8"/>
      <c r="D6010" s="8"/>
      <c r="E6010" s="39"/>
      <c r="F6010" s="40"/>
    </row>
    <row r="6011" spans="2:6">
      <c r="B6011" s="8"/>
      <c r="C6011" s="8"/>
      <c r="D6011" s="8"/>
      <c r="E6011" s="39"/>
      <c r="F6011" s="40"/>
    </row>
    <row r="6012" spans="2:6">
      <c r="B6012" s="8"/>
      <c r="C6012" s="8"/>
      <c r="D6012" s="8"/>
      <c r="E6012" s="39"/>
      <c r="F6012" s="40"/>
    </row>
    <row r="6013" spans="2:6">
      <c r="B6013" s="8"/>
      <c r="C6013" s="8"/>
      <c r="D6013" s="8"/>
      <c r="E6013" s="39"/>
      <c r="F6013" s="40"/>
    </row>
    <row r="6014" spans="2:6">
      <c r="B6014" s="8"/>
      <c r="C6014" s="8"/>
      <c r="D6014" s="8"/>
      <c r="E6014" s="39"/>
      <c r="F6014" s="40"/>
    </row>
    <row r="6015" spans="2:6">
      <c r="B6015" s="8"/>
      <c r="C6015" s="8"/>
      <c r="D6015" s="8"/>
      <c r="E6015" s="39"/>
      <c r="F6015" s="40"/>
    </row>
    <row r="6016" spans="2:6">
      <c r="B6016" s="8"/>
      <c r="C6016" s="8"/>
      <c r="D6016" s="8"/>
      <c r="E6016" s="39"/>
      <c r="F6016" s="40"/>
    </row>
    <row r="6017" spans="2:6">
      <c r="B6017" s="8"/>
      <c r="C6017" s="8"/>
      <c r="D6017" s="8"/>
      <c r="E6017" s="39"/>
      <c r="F6017" s="40"/>
    </row>
    <row r="6018" spans="2:6">
      <c r="B6018" s="8"/>
      <c r="C6018" s="8"/>
      <c r="D6018" s="8"/>
      <c r="E6018" s="39"/>
      <c r="F6018" s="40"/>
    </row>
    <row r="6019" spans="2:6">
      <c r="B6019" s="8"/>
      <c r="C6019" s="8"/>
      <c r="D6019" s="8"/>
      <c r="E6019" s="39"/>
      <c r="F6019" s="40"/>
    </row>
    <row r="6020" spans="2:6">
      <c r="B6020" s="8"/>
      <c r="C6020" s="8"/>
      <c r="D6020" s="8"/>
      <c r="E6020" s="39"/>
      <c r="F6020" s="40"/>
    </row>
    <row r="6021" spans="2:6">
      <c r="B6021" s="8"/>
      <c r="C6021" s="8"/>
      <c r="D6021" s="8"/>
      <c r="E6021" s="39"/>
      <c r="F6021" s="40"/>
    </row>
    <row r="6022" spans="2:6">
      <c r="B6022" s="8"/>
      <c r="C6022" s="8"/>
      <c r="D6022" s="8"/>
      <c r="E6022" s="39"/>
      <c r="F6022" s="40"/>
    </row>
    <row r="6023" spans="2:6">
      <c r="B6023" s="8"/>
      <c r="C6023" s="8"/>
      <c r="D6023" s="8"/>
      <c r="E6023" s="39"/>
      <c r="F6023" s="40"/>
    </row>
    <row r="6024" spans="2:6">
      <c r="B6024" s="8"/>
      <c r="C6024" s="8"/>
      <c r="D6024" s="8"/>
      <c r="E6024" s="39"/>
      <c r="F6024" s="40"/>
    </row>
    <row r="6025" spans="2:6">
      <c r="B6025" s="8"/>
      <c r="C6025" s="8"/>
      <c r="D6025" s="8"/>
      <c r="E6025" s="39"/>
      <c r="F6025" s="40"/>
    </row>
    <row r="6026" spans="2:6">
      <c r="B6026" s="8"/>
      <c r="C6026" s="8"/>
      <c r="D6026" s="8"/>
      <c r="E6026" s="39"/>
      <c r="F6026" s="40"/>
    </row>
    <row r="6027" spans="2:6">
      <c r="B6027" s="8"/>
      <c r="C6027" s="8"/>
      <c r="D6027" s="8"/>
      <c r="E6027" s="39"/>
      <c r="F6027" s="40"/>
    </row>
    <row r="6028" spans="2:6">
      <c r="B6028" s="8"/>
      <c r="C6028" s="8"/>
      <c r="D6028" s="8"/>
      <c r="E6028" s="39"/>
      <c r="F6028" s="40"/>
    </row>
    <row r="6029" spans="2:6">
      <c r="B6029" s="8"/>
      <c r="C6029" s="8"/>
      <c r="D6029" s="8"/>
      <c r="E6029" s="39"/>
      <c r="F6029" s="40"/>
    </row>
    <row r="6030" spans="2:6">
      <c r="B6030" s="8"/>
      <c r="C6030" s="8"/>
      <c r="D6030" s="8"/>
      <c r="E6030" s="39"/>
      <c r="F6030" s="40"/>
    </row>
    <row r="6031" spans="2:6">
      <c r="B6031" s="8"/>
      <c r="C6031" s="8"/>
      <c r="D6031" s="8"/>
      <c r="E6031" s="39"/>
      <c r="F6031" s="40"/>
    </row>
    <row r="6032" spans="2:6">
      <c r="B6032" s="8"/>
      <c r="C6032" s="8"/>
      <c r="D6032" s="8"/>
      <c r="E6032" s="39"/>
      <c r="F6032" s="40"/>
    </row>
    <row r="6033" spans="2:6">
      <c r="B6033" s="8"/>
      <c r="C6033" s="8"/>
      <c r="D6033" s="8"/>
      <c r="E6033" s="39"/>
      <c r="F6033" s="40"/>
    </row>
    <row r="6034" spans="2:6">
      <c r="B6034" s="8"/>
      <c r="C6034" s="8"/>
      <c r="D6034" s="8"/>
      <c r="E6034" s="39"/>
      <c r="F6034" s="40"/>
    </row>
    <row r="6035" spans="2:6">
      <c r="B6035" s="8"/>
      <c r="C6035" s="8"/>
      <c r="D6035" s="8"/>
      <c r="E6035" s="39"/>
      <c r="F6035" s="40"/>
    </row>
    <row r="6036" spans="2:6">
      <c r="B6036" s="8"/>
      <c r="C6036" s="8"/>
      <c r="D6036" s="8"/>
      <c r="E6036" s="39"/>
      <c r="F6036" s="40"/>
    </row>
    <row r="6037" spans="2:6">
      <c r="B6037" s="8"/>
      <c r="C6037" s="8"/>
      <c r="D6037" s="8"/>
      <c r="E6037" s="39"/>
      <c r="F6037" s="40"/>
    </row>
    <row r="6038" spans="2:6">
      <c r="B6038" s="8"/>
      <c r="C6038" s="8"/>
      <c r="D6038" s="8"/>
      <c r="E6038" s="39"/>
      <c r="F6038" s="40"/>
    </row>
    <row r="6039" spans="2:6">
      <c r="B6039" s="8"/>
      <c r="C6039" s="8"/>
      <c r="D6039" s="8"/>
      <c r="E6039" s="39"/>
      <c r="F6039" s="40"/>
    </row>
    <row r="6040" spans="2:6">
      <c r="B6040" s="8"/>
      <c r="C6040" s="8"/>
      <c r="D6040" s="8"/>
      <c r="E6040" s="39"/>
      <c r="F6040" s="40"/>
    </row>
    <row r="6041" spans="2:6">
      <c r="B6041" s="8"/>
      <c r="C6041" s="8"/>
      <c r="D6041" s="8"/>
      <c r="E6041" s="39"/>
      <c r="F6041" s="40"/>
    </row>
    <row r="6042" spans="2:6">
      <c r="B6042" s="8"/>
      <c r="C6042" s="8"/>
      <c r="D6042" s="8"/>
      <c r="E6042" s="39"/>
      <c r="F6042" s="40"/>
    </row>
    <row r="6043" spans="2:6">
      <c r="B6043" s="8"/>
      <c r="C6043" s="8"/>
      <c r="D6043" s="8"/>
      <c r="E6043" s="39"/>
      <c r="F6043" s="40"/>
    </row>
    <row r="6044" spans="2:6">
      <c r="B6044" s="8"/>
      <c r="C6044" s="8"/>
      <c r="D6044" s="8"/>
      <c r="E6044" s="39"/>
      <c r="F6044" s="40"/>
    </row>
    <row r="6045" spans="2:6">
      <c r="B6045" s="8"/>
      <c r="C6045" s="8"/>
      <c r="D6045" s="8"/>
      <c r="E6045" s="39"/>
      <c r="F6045" s="40"/>
    </row>
    <row r="6046" spans="2:6">
      <c r="B6046" s="8"/>
      <c r="C6046" s="8"/>
      <c r="D6046" s="8"/>
      <c r="E6046" s="39"/>
      <c r="F6046" s="40"/>
    </row>
    <row r="6047" spans="2:6">
      <c r="B6047" s="8"/>
      <c r="C6047" s="8"/>
      <c r="D6047" s="8"/>
      <c r="E6047" s="39"/>
      <c r="F6047" s="40"/>
    </row>
    <row r="6048" spans="2:6">
      <c r="B6048" s="8"/>
      <c r="C6048" s="8"/>
      <c r="D6048" s="8"/>
      <c r="E6048" s="39"/>
      <c r="F6048" s="40"/>
    </row>
    <row r="6049" spans="2:6">
      <c r="B6049" s="8"/>
      <c r="C6049" s="8"/>
      <c r="D6049" s="8"/>
      <c r="E6049" s="39"/>
      <c r="F6049" s="40"/>
    </row>
    <row r="6050" spans="2:6">
      <c r="B6050" s="8"/>
      <c r="C6050" s="8"/>
      <c r="D6050" s="8"/>
      <c r="E6050" s="39"/>
      <c r="F6050" s="40"/>
    </row>
    <row r="6051" spans="2:6">
      <c r="B6051" s="8"/>
      <c r="C6051" s="8"/>
      <c r="D6051" s="8"/>
      <c r="E6051" s="39"/>
      <c r="F6051" s="40"/>
    </row>
    <row r="6052" spans="2:6">
      <c r="B6052" s="8"/>
      <c r="C6052" s="8"/>
      <c r="D6052" s="8"/>
      <c r="E6052" s="39"/>
      <c r="F6052" s="40"/>
    </row>
    <row r="6053" spans="2:6">
      <c r="B6053" s="8"/>
      <c r="C6053" s="8"/>
      <c r="D6053" s="8"/>
      <c r="E6053" s="39"/>
      <c r="F6053" s="40"/>
    </row>
    <row r="6054" spans="2:6">
      <c r="B6054" s="8"/>
      <c r="C6054" s="8"/>
      <c r="D6054" s="8"/>
      <c r="E6054" s="39"/>
      <c r="F6054" s="40"/>
    </row>
    <row r="6055" spans="2:6">
      <c r="B6055" s="8"/>
      <c r="C6055" s="8"/>
      <c r="D6055" s="8"/>
      <c r="E6055" s="39"/>
      <c r="F6055" s="40"/>
    </row>
    <row r="6056" spans="2:6">
      <c r="B6056" s="8"/>
      <c r="C6056" s="8"/>
      <c r="D6056" s="8"/>
      <c r="E6056" s="39"/>
      <c r="F6056" s="40"/>
    </row>
    <row r="6057" spans="2:6">
      <c r="B6057" s="8"/>
      <c r="C6057" s="8"/>
      <c r="D6057" s="8"/>
      <c r="E6057" s="39"/>
      <c r="F6057" s="40"/>
    </row>
    <row r="6058" spans="2:6">
      <c r="B6058" s="8"/>
      <c r="C6058" s="8"/>
      <c r="D6058" s="8"/>
      <c r="E6058" s="39"/>
      <c r="F6058" s="40"/>
    </row>
    <row r="6059" spans="2:6">
      <c r="B6059" s="8"/>
      <c r="C6059" s="8"/>
      <c r="D6059" s="8"/>
      <c r="E6059" s="39"/>
      <c r="F6059" s="40"/>
    </row>
    <row r="6060" spans="2:6">
      <c r="B6060" s="8"/>
      <c r="C6060" s="8"/>
      <c r="D6060" s="8"/>
      <c r="E6060" s="39"/>
      <c r="F6060" s="40"/>
    </row>
    <row r="6061" spans="2:6">
      <c r="B6061" s="8"/>
      <c r="C6061" s="8"/>
      <c r="D6061" s="8"/>
      <c r="E6061" s="39"/>
      <c r="F6061" s="40"/>
    </row>
    <row r="6062" spans="2:6">
      <c r="B6062" s="8"/>
      <c r="C6062" s="8"/>
      <c r="D6062" s="8"/>
      <c r="E6062" s="39"/>
      <c r="F6062" s="40"/>
    </row>
    <row r="6063" spans="2:6">
      <c r="B6063" s="8"/>
      <c r="C6063" s="8"/>
      <c r="D6063" s="8"/>
      <c r="E6063" s="39"/>
      <c r="F6063" s="40"/>
    </row>
    <row r="6064" spans="2:6">
      <c r="B6064" s="8"/>
      <c r="C6064" s="8"/>
      <c r="D6064" s="8"/>
      <c r="E6064" s="39"/>
      <c r="F6064" s="40"/>
    </row>
    <row r="6065" spans="2:6">
      <c r="B6065" s="8"/>
      <c r="C6065" s="8"/>
      <c r="D6065" s="8"/>
      <c r="E6065" s="39"/>
      <c r="F6065" s="40"/>
    </row>
    <row r="6066" spans="2:6">
      <c r="B6066" s="8"/>
      <c r="C6066" s="8"/>
      <c r="D6066" s="8"/>
      <c r="E6066" s="39"/>
      <c r="F6066" s="40"/>
    </row>
    <row r="6067" spans="2:6">
      <c r="B6067" s="8"/>
      <c r="C6067" s="8"/>
      <c r="D6067" s="8"/>
      <c r="E6067" s="39"/>
      <c r="F6067" s="40"/>
    </row>
    <row r="6068" spans="2:6">
      <c r="B6068" s="8"/>
      <c r="C6068" s="8"/>
      <c r="D6068" s="8"/>
      <c r="E6068" s="39"/>
      <c r="F6068" s="40"/>
    </row>
    <row r="6069" spans="2:6">
      <c r="B6069" s="8"/>
      <c r="C6069" s="8"/>
      <c r="D6069" s="8"/>
      <c r="E6069" s="39"/>
      <c r="F6069" s="40"/>
    </row>
    <row r="6070" spans="2:6">
      <c r="B6070" s="8"/>
      <c r="C6070" s="8"/>
      <c r="D6070" s="8"/>
      <c r="E6070" s="39"/>
      <c r="F6070" s="40"/>
    </row>
    <row r="6071" spans="2:6">
      <c r="B6071" s="8"/>
      <c r="C6071" s="8"/>
      <c r="D6071" s="8"/>
      <c r="E6071" s="39"/>
      <c r="F6071" s="40"/>
    </row>
    <row r="6072" spans="2:6">
      <c r="B6072" s="8"/>
      <c r="C6072" s="8"/>
      <c r="D6072" s="8"/>
      <c r="E6072" s="39"/>
      <c r="F6072" s="40"/>
    </row>
    <row r="6073" spans="2:6">
      <c r="B6073" s="8"/>
      <c r="C6073" s="8"/>
      <c r="D6073" s="8"/>
      <c r="E6073" s="39"/>
      <c r="F6073" s="40"/>
    </row>
    <row r="6074" spans="2:6">
      <c r="B6074" s="8"/>
      <c r="C6074" s="8"/>
      <c r="D6074" s="8"/>
      <c r="E6074" s="39"/>
      <c r="F6074" s="40"/>
    </row>
    <row r="6075" spans="2:6">
      <c r="B6075" s="8"/>
      <c r="C6075" s="8"/>
      <c r="D6075" s="8"/>
      <c r="E6075" s="39"/>
      <c r="F6075" s="40"/>
    </row>
    <row r="6076" spans="2:6">
      <c r="B6076" s="8"/>
      <c r="C6076" s="8"/>
      <c r="D6076" s="8"/>
      <c r="E6076" s="39"/>
      <c r="F6076" s="40"/>
    </row>
    <row r="6077" spans="2:6">
      <c r="B6077" s="8"/>
      <c r="C6077" s="8"/>
      <c r="D6077" s="8"/>
      <c r="E6077" s="39"/>
      <c r="F6077" s="40"/>
    </row>
    <row r="6078" spans="2:6">
      <c r="B6078" s="8"/>
      <c r="C6078" s="8"/>
      <c r="D6078" s="8"/>
      <c r="E6078" s="39"/>
      <c r="F6078" s="40"/>
    </row>
    <row r="6079" spans="2:6">
      <c r="B6079" s="8"/>
      <c r="C6079" s="8"/>
      <c r="D6079" s="8"/>
      <c r="E6079" s="39"/>
      <c r="F6079" s="40"/>
    </row>
    <row r="6080" spans="2:6">
      <c r="B6080" s="8"/>
      <c r="C6080" s="8"/>
      <c r="D6080" s="8"/>
      <c r="E6080" s="39"/>
      <c r="F6080" s="40"/>
    </row>
    <row r="6081" spans="2:6">
      <c r="B6081" s="8"/>
      <c r="C6081" s="8"/>
      <c r="D6081" s="8"/>
      <c r="E6081" s="39"/>
      <c r="F6081" s="40"/>
    </row>
    <row r="6082" spans="2:6">
      <c r="B6082" s="8"/>
      <c r="C6082" s="8"/>
      <c r="D6082" s="8"/>
      <c r="E6082" s="39"/>
      <c r="F6082" s="40"/>
    </row>
    <row r="6083" spans="2:6">
      <c r="B6083" s="8"/>
      <c r="C6083" s="8"/>
      <c r="D6083" s="8"/>
      <c r="E6083" s="39"/>
      <c r="F6083" s="40"/>
    </row>
    <row r="6084" spans="2:6">
      <c r="B6084" s="8"/>
      <c r="C6084" s="8"/>
      <c r="D6084" s="8"/>
      <c r="E6084" s="39"/>
      <c r="F6084" s="40"/>
    </row>
    <row r="6085" spans="2:6">
      <c r="B6085" s="8"/>
      <c r="C6085" s="8"/>
      <c r="D6085" s="8"/>
      <c r="E6085" s="39"/>
      <c r="F6085" s="40"/>
    </row>
    <row r="6086" spans="2:6">
      <c r="B6086" s="8"/>
      <c r="C6086" s="8"/>
      <c r="D6086" s="8"/>
      <c r="E6086" s="39"/>
      <c r="F6086" s="40"/>
    </row>
    <row r="6087" spans="2:6">
      <c r="B6087" s="8"/>
      <c r="C6087" s="8"/>
      <c r="D6087" s="8"/>
      <c r="E6087" s="39"/>
      <c r="F6087" s="40"/>
    </row>
    <row r="6088" spans="2:6">
      <c r="B6088" s="8"/>
      <c r="C6088" s="8"/>
      <c r="D6088" s="8"/>
      <c r="E6088" s="39"/>
      <c r="F6088" s="40"/>
    </row>
    <row r="6089" spans="2:6">
      <c r="B6089" s="8"/>
      <c r="C6089" s="8"/>
      <c r="D6089" s="8"/>
      <c r="E6089" s="39"/>
      <c r="F6089" s="40"/>
    </row>
    <row r="6090" spans="2:6">
      <c r="B6090" s="8"/>
      <c r="C6090" s="8"/>
      <c r="D6090" s="8"/>
      <c r="E6090" s="39"/>
      <c r="F6090" s="40"/>
    </row>
    <row r="6091" spans="2:6">
      <c r="B6091" s="8"/>
      <c r="C6091" s="8"/>
      <c r="D6091" s="8"/>
      <c r="E6091" s="39"/>
      <c r="F6091" s="40"/>
    </row>
    <row r="6092" spans="2:6">
      <c r="B6092" s="8"/>
      <c r="C6092" s="8"/>
      <c r="D6092" s="8"/>
      <c r="E6092" s="39"/>
      <c r="F6092" s="40"/>
    </row>
    <row r="6093" spans="2:6">
      <c r="B6093" s="8"/>
      <c r="C6093" s="8"/>
      <c r="D6093" s="8"/>
      <c r="E6093" s="39"/>
      <c r="F6093" s="40"/>
    </row>
    <row r="6094" spans="2:6">
      <c r="B6094" s="8"/>
      <c r="C6094" s="8"/>
      <c r="D6094" s="8"/>
      <c r="E6094" s="39"/>
      <c r="F6094" s="40"/>
    </row>
    <row r="6095" spans="2:6">
      <c r="B6095" s="8"/>
      <c r="C6095" s="8"/>
      <c r="D6095" s="8"/>
      <c r="E6095" s="39"/>
      <c r="F6095" s="40"/>
    </row>
    <row r="6096" spans="2:6">
      <c r="B6096" s="8"/>
      <c r="C6096" s="8"/>
      <c r="D6096" s="8"/>
      <c r="E6096" s="39"/>
      <c r="F6096" s="40"/>
    </row>
    <row r="6097" spans="2:6">
      <c r="B6097" s="8"/>
      <c r="C6097" s="8"/>
      <c r="D6097" s="8"/>
      <c r="E6097" s="39"/>
      <c r="F6097" s="40"/>
    </row>
    <row r="6098" spans="2:6">
      <c r="B6098" s="8"/>
      <c r="C6098" s="8"/>
      <c r="D6098" s="8"/>
      <c r="E6098" s="39"/>
      <c r="F6098" s="40"/>
    </row>
    <row r="6099" spans="2:6">
      <c r="B6099" s="8"/>
      <c r="C6099" s="8"/>
      <c r="D6099" s="8"/>
      <c r="E6099" s="39"/>
      <c r="F6099" s="40"/>
    </row>
    <row r="6100" spans="2:6">
      <c r="B6100" s="8"/>
      <c r="C6100" s="8"/>
      <c r="D6100" s="8"/>
      <c r="E6100" s="39"/>
      <c r="F6100" s="40"/>
    </row>
    <row r="6101" spans="2:6">
      <c r="B6101" s="8"/>
      <c r="C6101" s="8"/>
      <c r="D6101" s="8"/>
      <c r="E6101" s="39"/>
      <c r="F6101" s="40"/>
    </row>
    <row r="6102" spans="2:6">
      <c r="B6102" s="8"/>
      <c r="C6102" s="8"/>
      <c r="D6102" s="8"/>
      <c r="E6102" s="39"/>
      <c r="F6102" s="40"/>
    </row>
    <row r="6103" spans="2:6">
      <c r="B6103" s="8"/>
      <c r="C6103" s="8"/>
      <c r="D6103" s="8"/>
      <c r="E6103" s="39"/>
      <c r="F6103" s="40"/>
    </row>
    <row r="6104" spans="2:6">
      <c r="B6104" s="8"/>
      <c r="C6104" s="8"/>
      <c r="D6104" s="8"/>
      <c r="E6104" s="39"/>
      <c r="F6104" s="40"/>
    </row>
    <row r="6105" spans="2:6">
      <c r="B6105" s="8"/>
      <c r="C6105" s="8"/>
      <c r="D6105" s="8"/>
      <c r="E6105" s="39"/>
      <c r="F6105" s="40"/>
    </row>
    <row r="6106" spans="2:6">
      <c r="B6106" s="8"/>
      <c r="C6106" s="8"/>
      <c r="D6106" s="8"/>
      <c r="E6106" s="39"/>
      <c r="F6106" s="40"/>
    </row>
    <row r="6107" spans="2:6">
      <c r="B6107" s="8"/>
      <c r="C6107" s="8"/>
      <c r="D6107" s="8"/>
      <c r="E6107" s="39"/>
      <c r="F6107" s="40"/>
    </row>
    <row r="6108" spans="2:6">
      <c r="B6108" s="8"/>
      <c r="C6108" s="8"/>
      <c r="D6108" s="8"/>
      <c r="E6108" s="39"/>
      <c r="F6108" s="40"/>
    </row>
    <row r="6109" spans="2:6">
      <c r="B6109" s="8"/>
      <c r="C6109" s="8"/>
      <c r="D6109" s="8"/>
      <c r="E6109" s="39"/>
      <c r="F6109" s="40"/>
    </row>
    <row r="6110" spans="2:6">
      <c r="B6110" s="8"/>
      <c r="C6110" s="8"/>
      <c r="D6110" s="8"/>
      <c r="E6110" s="39"/>
      <c r="F6110" s="40"/>
    </row>
    <row r="6111" spans="2:6">
      <c r="B6111" s="8"/>
      <c r="C6111" s="8"/>
      <c r="D6111" s="8"/>
      <c r="E6111" s="39"/>
      <c r="F6111" s="40"/>
    </row>
    <row r="6112" spans="2:6">
      <c r="B6112" s="8"/>
      <c r="C6112" s="8"/>
      <c r="D6112" s="8"/>
      <c r="E6112" s="39"/>
      <c r="F6112" s="40"/>
    </row>
    <row r="6113" spans="2:6">
      <c r="B6113" s="8"/>
      <c r="C6113" s="8"/>
      <c r="D6113" s="8"/>
      <c r="E6113" s="39"/>
      <c r="F6113" s="40"/>
    </row>
    <row r="6114" spans="2:6">
      <c r="B6114" s="8"/>
      <c r="C6114" s="8"/>
      <c r="D6114" s="8"/>
      <c r="E6114" s="39"/>
      <c r="F6114" s="40"/>
    </row>
    <row r="6115" spans="2:6">
      <c r="B6115" s="8"/>
      <c r="C6115" s="8"/>
      <c r="D6115" s="8"/>
      <c r="E6115" s="39"/>
      <c r="F6115" s="40"/>
    </row>
    <row r="6116" spans="2:6">
      <c r="B6116" s="8"/>
      <c r="C6116" s="8"/>
      <c r="D6116" s="8"/>
      <c r="E6116" s="39"/>
      <c r="F6116" s="40"/>
    </row>
    <row r="6117" spans="2:6">
      <c r="B6117" s="8"/>
      <c r="C6117" s="8"/>
      <c r="D6117" s="8"/>
      <c r="E6117" s="39"/>
      <c r="F6117" s="40"/>
    </row>
    <row r="6118" spans="2:6">
      <c r="B6118" s="8"/>
      <c r="C6118" s="8"/>
      <c r="D6118" s="8"/>
      <c r="E6118" s="39"/>
      <c r="F6118" s="40"/>
    </row>
    <row r="6119" spans="2:6">
      <c r="B6119" s="8"/>
      <c r="C6119" s="8"/>
      <c r="D6119" s="8"/>
      <c r="E6119" s="39"/>
      <c r="F6119" s="40"/>
    </row>
    <row r="6120" spans="2:6">
      <c r="B6120" s="8"/>
      <c r="C6120" s="8"/>
      <c r="D6120" s="8"/>
      <c r="E6120" s="39"/>
      <c r="F6120" s="40"/>
    </row>
    <row r="6121" spans="2:6">
      <c r="B6121" s="8"/>
      <c r="C6121" s="8"/>
      <c r="D6121" s="8"/>
      <c r="E6121" s="39"/>
      <c r="F6121" s="40"/>
    </row>
    <row r="6122" spans="2:6">
      <c r="B6122" s="8"/>
      <c r="C6122" s="8"/>
      <c r="D6122" s="8"/>
      <c r="E6122" s="39"/>
      <c r="F6122" s="40"/>
    </row>
    <row r="6123" spans="2:6">
      <c r="B6123" s="8"/>
      <c r="C6123" s="8"/>
      <c r="D6123" s="8"/>
      <c r="E6123" s="39"/>
      <c r="F6123" s="40"/>
    </row>
    <row r="6124" spans="2:6">
      <c r="B6124" s="8"/>
      <c r="C6124" s="8"/>
      <c r="D6124" s="8"/>
      <c r="E6124" s="39"/>
      <c r="F6124" s="40"/>
    </row>
    <row r="6125" spans="2:6">
      <c r="B6125" s="8"/>
      <c r="C6125" s="8"/>
      <c r="D6125" s="8"/>
      <c r="E6125" s="39"/>
      <c r="F6125" s="40"/>
    </row>
    <row r="6126" spans="2:6">
      <c r="B6126" s="8"/>
      <c r="C6126" s="8"/>
      <c r="D6126" s="8"/>
      <c r="E6126" s="39"/>
      <c r="F6126" s="40"/>
    </row>
    <row r="6127" spans="2:6">
      <c r="B6127" s="8"/>
      <c r="C6127" s="8"/>
      <c r="D6127" s="8"/>
      <c r="E6127" s="39"/>
      <c r="F6127" s="40"/>
    </row>
    <row r="6128" spans="2:6">
      <c r="B6128" s="8"/>
      <c r="C6128" s="8"/>
      <c r="D6128" s="8"/>
      <c r="E6128" s="39"/>
      <c r="F6128" s="40"/>
    </row>
    <row r="6129" spans="2:6">
      <c r="B6129" s="8"/>
      <c r="C6129" s="8"/>
      <c r="D6129" s="8"/>
      <c r="E6129" s="39"/>
      <c r="F6129" s="40"/>
    </row>
    <row r="6130" spans="2:6">
      <c r="B6130" s="8"/>
      <c r="C6130" s="8"/>
      <c r="D6130" s="8"/>
      <c r="E6130" s="39"/>
      <c r="F6130" s="40"/>
    </row>
    <row r="6131" spans="2:6">
      <c r="B6131" s="8"/>
      <c r="C6131" s="8"/>
      <c r="D6131" s="8"/>
      <c r="E6131" s="39"/>
      <c r="F6131" s="40"/>
    </row>
    <row r="6132" spans="2:6">
      <c r="B6132" s="8"/>
      <c r="C6132" s="8"/>
      <c r="D6132" s="8"/>
      <c r="E6132" s="39"/>
      <c r="F6132" s="40"/>
    </row>
    <row r="6133" spans="2:6">
      <c r="B6133" s="8"/>
      <c r="C6133" s="8"/>
      <c r="D6133" s="8"/>
      <c r="E6133" s="39"/>
      <c r="F6133" s="40"/>
    </row>
    <row r="6134" spans="2:6">
      <c r="B6134" s="8"/>
      <c r="C6134" s="8"/>
      <c r="D6134" s="8"/>
      <c r="E6134" s="39"/>
      <c r="F6134" s="40"/>
    </row>
    <row r="6135" spans="2:6">
      <c r="B6135" s="8"/>
      <c r="C6135" s="8"/>
      <c r="D6135" s="8"/>
      <c r="E6135" s="39"/>
      <c r="F6135" s="40"/>
    </row>
    <row r="6136" spans="2:6">
      <c r="B6136" s="8"/>
      <c r="C6136" s="8"/>
      <c r="D6136" s="8"/>
      <c r="E6136" s="39"/>
      <c r="F6136" s="40"/>
    </row>
    <row r="6137" spans="2:6">
      <c r="B6137" s="8"/>
      <c r="C6137" s="8"/>
      <c r="D6137" s="8"/>
      <c r="E6137" s="39"/>
      <c r="F6137" s="40"/>
    </row>
    <row r="6138" spans="2:6">
      <c r="B6138" s="8"/>
      <c r="C6138" s="8"/>
      <c r="D6138" s="8"/>
      <c r="E6138" s="39"/>
      <c r="F6138" s="40"/>
    </row>
    <row r="6139" spans="2:6">
      <c r="B6139" s="8"/>
      <c r="C6139" s="8"/>
      <c r="D6139" s="8"/>
      <c r="E6139" s="39"/>
      <c r="F6139" s="40"/>
    </row>
    <row r="6140" spans="2:6">
      <c r="B6140" s="8"/>
      <c r="C6140" s="8"/>
      <c r="D6140" s="8"/>
      <c r="E6140" s="39"/>
      <c r="F6140" s="40"/>
    </row>
    <row r="6141" spans="2:6">
      <c r="B6141" s="8"/>
      <c r="C6141" s="8"/>
      <c r="D6141" s="8"/>
      <c r="E6141" s="39"/>
      <c r="F6141" s="40"/>
    </row>
    <row r="6142" spans="2:6">
      <c r="B6142" s="8"/>
      <c r="C6142" s="8"/>
      <c r="D6142" s="8"/>
      <c r="E6142" s="39"/>
      <c r="F6142" s="40"/>
    </row>
    <row r="6143" spans="2:6">
      <c r="B6143" s="8"/>
      <c r="C6143" s="8"/>
      <c r="D6143" s="8"/>
      <c r="E6143" s="39"/>
      <c r="F6143" s="40"/>
    </row>
    <row r="6144" spans="2:6">
      <c r="B6144" s="8"/>
      <c r="C6144" s="8"/>
      <c r="D6144" s="8"/>
      <c r="E6144" s="39"/>
      <c r="F6144" s="40"/>
    </row>
    <row r="6145" spans="2:6">
      <c r="B6145" s="8"/>
      <c r="C6145" s="8"/>
      <c r="D6145" s="8"/>
      <c r="E6145" s="39"/>
      <c r="F6145" s="40"/>
    </row>
    <row r="6146" spans="2:6">
      <c r="B6146" s="8"/>
      <c r="C6146" s="8"/>
      <c r="D6146" s="8"/>
      <c r="E6146" s="39"/>
      <c r="F6146" s="40"/>
    </row>
    <row r="6147" spans="2:6">
      <c r="B6147" s="8"/>
      <c r="C6147" s="8"/>
      <c r="D6147" s="8"/>
      <c r="E6147" s="39"/>
      <c r="F6147" s="40"/>
    </row>
    <row r="6148" spans="2:6">
      <c r="B6148" s="8"/>
      <c r="C6148" s="8"/>
      <c r="D6148" s="8"/>
      <c r="E6148" s="39"/>
      <c r="F6148" s="40"/>
    </row>
    <row r="6149" spans="2:6">
      <c r="B6149" s="8"/>
      <c r="C6149" s="8"/>
      <c r="D6149" s="8"/>
      <c r="E6149" s="39"/>
      <c r="F6149" s="40"/>
    </row>
    <row r="6150" spans="2:6">
      <c r="B6150" s="8"/>
      <c r="C6150" s="8"/>
      <c r="D6150" s="8"/>
      <c r="E6150" s="39"/>
      <c r="F6150" s="40"/>
    </row>
    <row r="6151" spans="2:6">
      <c r="B6151" s="8"/>
      <c r="C6151" s="8"/>
      <c r="D6151" s="8"/>
      <c r="E6151" s="39"/>
      <c r="F6151" s="40"/>
    </row>
    <row r="6152" spans="2:6">
      <c r="B6152" s="8"/>
      <c r="C6152" s="8"/>
      <c r="D6152" s="8"/>
      <c r="E6152" s="39"/>
      <c r="F6152" s="40"/>
    </row>
    <row r="6153" spans="2:6">
      <c r="B6153" s="8"/>
      <c r="C6153" s="8"/>
      <c r="D6153" s="8"/>
      <c r="E6153" s="39"/>
      <c r="F6153" s="40"/>
    </row>
    <row r="6154" spans="2:6">
      <c r="B6154" s="8"/>
      <c r="C6154" s="8"/>
      <c r="D6154" s="8"/>
      <c r="E6154" s="39"/>
      <c r="F6154" s="40"/>
    </row>
    <row r="6155" spans="2:6">
      <c r="B6155" s="8"/>
      <c r="C6155" s="8"/>
      <c r="D6155" s="8"/>
      <c r="E6155" s="39"/>
      <c r="F6155" s="40"/>
    </row>
    <row r="6156" spans="2:6">
      <c r="B6156" s="8"/>
      <c r="C6156" s="8"/>
      <c r="D6156" s="8"/>
      <c r="E6156" s="39"/>
      <c r="F6156" s="40"/>
    </row>
    <row r="6157" spans="2:6">
      <c r="B6157" s="8"/>
      <c r="C6157" s="8"/>
      <c r="D6157" s="8"/>
      <c r="E6157" s="39"/>
      <c r="F6157" s="40"/>
    </row>
    <row r="6158" spans="2:6">
      <c r="B6158" s="8"/>
      <c r="C6158" s="8"/>
      <c r="D6158" s="8"/>
      <c r="E6158" s="39"/>
      <c r="F6158" s="40"/>
    </row>
    <row r="6159" spans="2:6">
      <c r="B6159" s="8"/>
      <c r="C6159" s="8"/>
      <c r="D6159" s="8"/>
      <c r="E6159" s="39"/>
      <c r="F6159" s="40"/>
    </row>
    <row r="6160" spans="2:6">
      <c r="B6160" s="8"/>
      <c r="C6160" s="8"/>
      <c r="D6160" s="8"/>
      <c r="E6160" s="39"/>
      <c r="F6160" s="40"/>
    </row>
    <row r="6161" spans="2:6">
      <c r="B6161" s="8"/>
      <c r="C6161" s="8"/>
      <c r="D6161" s="8"/>
      <c r="E6161" s="39"/>
      <c r="F6161" s="40"/>
    </row>
    <row r="6162" spans="2:6">
      <c r="B6162" s="8"/>
      <c r="C6162" s="8"/>
      <c r="D6162" s="8"/>
      <c r="E6162" s="39"/>
      <c r="F6162" s="40"/>
    </row>
    <row r="6163" spans="2:6">
      <c r="B6163" s="8"/>
      <c r="C6163" s="8"/>
      <c r="D6163" s="8"/>
      <c r="E6163" s="39"/>
      <c r="F6163" s="40"/>
    </row>
    <row r="6164" spans="2:6">
      <c r="B6164" s="8"/>
      <c r="C6164" s="8"/>
      <c r="D6164" s="8"/>
      <c r="E6164" s="39"/>
      <c r="F6164" s="40"/>
    </row>
    <row r="6165" spans="2:6">
      <c r="B6165" s="8"/>
      <c r="C6165" s="8"/>
      <c r="D6165" s="8"/>
      <c r="E6165" s="39"/>
      <c r="F6165" s="40"/>
    </row>
    <row r="6166" spans="2:6">
      <c r="B6166" s="8"/>
      <c r="C6166" s="8"/>
      <c r="D6166" s="8"/>
      <c r="E6166" s="39"/>
      <c r="F6166" s="40"/>
    </row>
    <row r="6167" spans="2:6">
      <c r="B6167" s="8"/>
      <c r="C6167" s="8"/>
      <c r="D6167" s="8"/>
      <c r="E6167" s="39"/>
      <c r="F6167" s="40"/>
    </row>
    <row r="6168" spans="2:6">
      <c r="B6168" s="8"/>
      <c r="C6168" s="8"/>
      <c r="D6168" s="8"/>
      <c r="E6168" s="39"/>
      <c r="F6168" s="40"/>
    </row>
    <row r="6169" spans="2:6">
      <c r="B6169" s="8"/>
      <c r="C6169" s="8"/>
      <c r="D6169" s="8"/>
      <c r="E6169" s="39"/>
      <c r="F6169" s="40"/>
    </row>
    <row r="6170" spans="2:6">
      <c r="B6170" s="8"/>
      <c r="C6170" s="8"/>
      <c r="D6170" s="8"/>
      <c r="E6170" s="39"/>
      <c r="F6170" s="40"/>
    </row>
    <row r="6171" spans="2:6">
      <c r="B6171" s="8"/>
      <c r="C6171" s="8"/>
      <c r="D6171" s="8"/>
      <c r="E6171" s="39"/>
      <c r="F6171" s="40"/>
    </row>
    <row r="6172" spans="2:6">
      <c r="B6172" s="8"/>
      <c r="C6172" s="8"/>
      <c r="D6172" s="8"/>
      <c r="E6172" s="39"/>
      <c r="F6172" s="40"/>
    </row>
    <row r="6173" spans="2:6">
      <c r="B6173" s="8"/>
      <c r="C6173" s="8"/>
      <c r="D6173" s="8"/>
      <c r="E6173" s="39"/>
      <c r="F6173" s="40"/>
    </row>
    <row r="6174" spans="2:6">
      <c r="B6174" s="8"/>
      <c r="C6174" s="8"/>
      <c r="D6174" s="8"/>
      <c r="E6174" s="39"/>
      <c r="F6174" s="40"/>
    </row>
    <row r="6175" spans="2:6">
      <c r="B6175" s="8"/>
      <c r="C6175" s="8"/>
      <c r="D6175" s="8"/>
      <c r="E6175" s="39"/>
      <c r="F6175" s="40"/>
    </row>
    <row r="6176" spans="2:6">
      <c r="B6176" s="8"/>
      <c r="C6176" s="8"/>
      <c r="D6176" s="8"/>
      <c r="E6176" s="39"/>
      <c r="F6176" s="40"/>
    </row>
    <row r="6177" spans="2:6">
      <c r="B6177" s="8"/>
      <c r="C6177" s="8"/>
      <c r="D6177" s="8"/>
      <c r="E6177" s="39"/>
      <c r="F6177" s="40"/>
    </row>
    <row r="6178" spans="2:6">
      <c r="B6178" s="8"/>
      <c r="C6178" s="8"/>
      <c r="D6178" s="8"/>
      <c r="E6178" s="39"/>
      <c r="F6178" s="40"/>
    </row>
    <row r="6179" spans="2:6">
      <c r="B6179" s="8"/>
      <c r="C6179" s="8"/>
      <c r="D6179" s="8"/>
      <c r="E6179" s="39"/>
      <c r="F6179" s="40"/>
    </row>
    <row r="6180" spans="2:6">
      <c r="B6180" s="8"/>
      <c r="C6180" s="8"/>
      <c r="D6180" s="8"/>
      <c r="E6180" s="39"/>
      <c r="F6180" s="40"/>
    </row>
    <row r="6181" spans="2:6">
      <c r="B6181" s="8"/>
      <c r="C6181" s="8"/>
      <c r="D6181" s="8"/>
      <c r="E6181" s="39"/>
      <c r="F6181" s="40"/>
    </row>
    <row r="6182" spans="2:6">
      <c r="B6182" s="8"/>
      <c r="C6182" s="8"/>
      <c r="D6182" s="8"/>
      <c r="E6182" s="39"/>
      <c r="F6182" s="40"/>
    </row>
    <row r="6183" spans="2:6">
      <c r="B6183" s="8"/>
      <c r="C6183" s="8"/>
      <c r="D6183" s="8"/>
      <c r="E6183" s="39"/>
      <c r="F6183" s="40"/>
    </row>
    <row r="6184" spans="2:6">
      <c r="B6184" s="8"/>
      <c r="C6184" s="8"/>
      <c r="D6184" s="8"/>
      <c r="E6184" s="39"/>
      <c r="F6184" s="40"/>
    </row>
    <row r="6185" spans="2:6">
      <c r="B6185" s="8"/>
      <c r="C6185" s="8"/>
      <c r="D6185" s="8"/>
      <c r="E6185" s="39"/>
      <c r="F6185" s="40"/>
    </row>
    <row r="6186" spans="2:6">
      <c r="B6186" s="8"/>
      <c r="C6186" s="8"/>
      <c r="D6186" s="8"/>
      <c r="E6186" s="39"/>
      <c r="F6186" s="40"/>
    </row>
    <row r="6187" spans="2:6">
      <c r="B6187" s="8"/>
      <c r="C6187" s="8"/>
      <c r="D6187" s="8"/>
      <c r="E6187" s="39"/>
      <c r="F6187" s="40"/>
    </row>
    <row r="6188" spans="2:6">
      <c r="B6188" s="8"/>
      <c r="C6188" s="8"/>
      <c r="D6188" s="8"/>
      <c r="E6188" s="39"/>
      <c r="F6188" s="40"/>
    </row>
    <row r="6189" spans="2:6">
      <c r="B6189" s="8"/>
      <c r="C6189" s="8"/>
      <c r="D6189" s="8"/>
      <c r="E6189" s="39"/>
      <c r="F6189" s="40"/>
    </row>
    <row r="6190" spans="2:6">
      <c r="B6190" s="8"/>
      <c r="C6190" s="8"/>
      <c r="D6190" s="8"/>
      <c r="E6190" s="39"/>
      <c r="F6190" s="40"/>
    </row>
    <row r="6191" spans="2:6">
      <c r="B6191" s="8"/>
      <c r="C6191" s="8"/>
      <c r="D6191" s="8"/>
      <c r="E6191" s="39"/>
      <c r="F6191" s="40"/>
    </row>
    <row r="6192" spans="2:6">
      <c r="B6192" s="8"/>
      <c r="C6192" s="8"/>
      <c r="D6192" s="8"/>
      <c r="E6192" s="39"/>
      <c r="F6192" s="40"/>
    </row>
    <row r="6193" spans="2:6">
      <c r="B6193" s="8"/>
      <c r="C6193" s="8"/>
      <c r="D6193" s="8"/>
      <c r="E6193" s="39"/>
      <c r="F6193" s="40"/>
    </row>
    <row r="6194" spans="2:6">
      <c r="B6194" s="8"/>
      <c r="C6194" s="8"/>
      <c r="D6194" s="8"/>
      <c r="E6194" s="39"/>
      <c r="F6194" s="40"/>
    </row>
    <row r="6195" spans="2:6">
      <c r="B6195" s="8"/>
      <c r="C6195" s="8"/>
      <c r="D6195" s="8"/>
      <c r="E6195" s="39"/>
      <c r="F6195" s="40"/>
    </row>
    <row r="6196" spans="2:6">
      <c r="B6196" s="8"/>
      <c r="C6196" s="8"/>
      <c r="D6196" s="8"/>
      <c r="E6196" s="39"/>
      <c r="F6196" s="40"/>
    </row>
    <row r="6197" spans="2:6">
      <c r="B6197" s="8"/>
      <c r="C6197" s="8"/>
      <c r="D6197" s="8"/>
      <c r="E6197" s="39"/>
      <c r="F6197" s="40"/>
    </row>
    <row r="6198" spans="2:6">
      <c r="B6198" s="8"/>
      <c r="C6198" s="8"/>
      <c r="D6198" s="8"/>
      <c r="E6198" s="39"/>
      <c r="F6198" s="40"/>
    </row>
    <row r="6199" spans="2:6">
      <c r="B6199" s="8"/>
      <c r="C6199" s="8"/>
      <c r="D6199" s="8"/>
      <c r="E6199" s="39"/>
      <c r="F6199" s="40"/>
    </row>
    <row r="6200" spans="2:6">
      <c r="B6200" s="8"/>
      <c r="C6200" s="8"/>
      <c r="D6200" s="8"/>
      <c r="E6200" s="39"/>
      <c r="F6200" s="40"/>
    </row>
    <row r="6201" spans="2:6">
      <c r="B6201" s="8"/>
      <c r="C6201" s="8"/>
      <c r="D6201" s="8"/>
      <c r="E6201" s="39"/>
      <c r="F6201" s="40"/>
    </row>
    <row r="6202" spans="2:6">
      <c r="B6202" s="8"/>
      <c r="C6202" s="8"/>
      <c r="D6202" s="8"/>
      <c r="E6202" s="39"/>
      <c r="F6202" s="40"/>
    </row>
    <row r="6203" spans="2:6">
      <c r="B6203" s="8"/>
      <c r="C6203" s="8"/>
      <c r="D6203" s="8"/>
      <c r="E6203" s="39"/>
      <c r="F6203" s="40"/>
    </row>
    <row r="6204" spans="2:6">
      <c r="B6204" s="8"/>
      <c r="C6204" s="8"/>
      <c r="D6204" s="8"/>
      <c r="E6204" s="39"/>
      <c r="F6204" s="40"/>
    </row>
    <row r="6205" spans="2:6">
      <c r="B6205" s="8"/>
      <c r="C6205" s="8"/>
      <c r="D6205" s="8"/>
      <c r="E6205" s="39"/>
      <c r="F6205" s="40"/>
    </row>
    <row r="6206" spans="2:6">
      <c r="B6206" s="8"/>
      <c r="C6206" s="8"/>
      <c r="D6206" s="8"/>
      <c r="E6206" s="39"/>
      <c r="F6206" s="40"/>
    </row>
    <row r="6207" spans="2:6">
      <c r="B6207" s="8"/>
      <c r="C6207" s="8"/>
      <c r="D6207" s="8"/>
      <c r="E6207" s="39"/>
      <c r="F6207" s="40"/>
    </row>
    <row r="6208" spans="2:6">
      <c r="B6208" s="8"/>
      <c r="C6208" s="8"/>
      <c r="D6208" s="8"/>
      <c r="E6208" s="39"/>
      <c r="F6208" s="40"/>
    </row>
    <row r="6209" spans="2:6">
      <c r="B6209" s="8"/>
      <c r="C6209" s="8"/>
      <c r="D6209" s="8"/>
      <c r="E6209" s="39"/>
      <c r="F6209" s="40"/>
    </row>
    <row r="6210" spans="2:6">
      <c r="B6210" s="8"/>
      <c r="C6210" s="8"/>
      <c r="D6210" s="8"/>
      <c r="E6210" s="39"/>
      <c r="F6210" s="40"/>
    </row>
    <row r="6211" spans="2:6">
      <c r="B6211" s="8"/>
      <c r="C6211" s="8"/>
      <c r="D6211" s="8"/>
      <c r="E6211" s="39"/>
      <c r="F6211" s="40"/>
    </row>
    <row r="6212" spans="2:6">
      <c r="B6212" s="8"/>
      <c r="C6212" s="8"/>
      <c r="D6212" s="8"/>
      <c r="E6212" s="39"/>
      <c r="F6212" s="40"/>
    </row>
    <row r="6213" spans="2:6">
      <c r="B6213" s="8"/>
      <c r="C6213" s="8"/>
      <c r="D6213" s="8"/>
      <c r="E6213" s="39"/>
      <c r="F6213" s="40"/>
    </row>
    <row r="6214" spans="2:6">
      <c r="B6214" s="8"/>
      <c r="C6214" s="8"/>
      <c r="D6214" s="8"/>
      <c r="E6214" s="39"/>
      <c r="F6214" s="40"/>
    </row>
    <row r="6215" spans="2:6">
      <c r="B6215" s="8"/>
      <c r="C6215" s="8"/>
      <c r="D6215" s="8"/>
      <c r="E6215" s="39"/>
      <c r="F6215" s="40"/>
    </row>
    <row r="6216" spans="2:6">
      <c r="B6216" s="8"/>
      <c r="C6216" s="8"/>
      <c r="D6216" s="8"/>
      <c r="E6216" s="39"/>
      <c r="F6216" s="40"/>
    </row>
    <row r="6217" spans="2:6">
      <c r="B6217" s="8"/>
      <c r="C6217" s="8"/>
      <c r="D6217" s="8"/>
      <c r="E6217" s="39"/>
      <c r="F6217" s="40"/>
    </row>
    <row r="6218" spans="2:6">
      <c r="B6218" s="8"/>
      <c r="C6218" s="8"/>
      <c r="D6218" s="8"/>
      <c r="E6218" s="39"/>
      <c r="F6218" s="40"/>
    </row>
    <row r="6219" spans="2:6">
      <c r="B6219" s="8"/>
      <c r="C6219" s="8"/>
      <c r="D6219" s="8"/>
      <c r="E6219" s="39"/>
      <c r="F6219" s="40"/>
    </row>
    <row r="6220" spans="2:6">
      <c r="B6220" s="8"/>
      <c r="C6220" s="8"/>
      <c r="D6220" s="8"/>
      <c r="E6220" s="39"/>
      <c r="F6220" s="40"/>
    </row>
    <row r="6221" spans="2:6">
      <c r="B6221" s="8"/>
      <c r="C6221" s="8"/>
      <c r="D6221" s="8"/>
      <c r="E6221" s="39"/>
      <c r="F6221" s="40"/>
    </row>
    <row r="6222" spans="2:6">
      <c r="B6222" s="8"/>
      <c r="C6222" s="8"/>
      <c r="D6222" s="8"/>
      <c r="E6222" s="39"/>
      <c r="F6222" s="40"/>
    </row>
    <row r="6223" spans="2:6">
      <c r="B6223" s="8"/>
      <c r="C6223" s="8"/>
      <c r="D6223" s="8"/>
      <c r="E6223" s="39"/>
      <c r="F6223" s="40"/>
    </row>
    <row r="6224" spans="2:6">
      <c r="B6224" s="8"/>
      <c r="C6224" s="8"/>
      <c r="D6224" s="8"/>
      <c r="E6224" s="39"/>
      <c r="F6224" s="40"/>
    </row>
    <row r="6225" spans="2:6">
      <c r="B6225" s="8"/>
      <c r="C6225" s="8"/>
      <c r="D6225" s="8"/>
      <c r="E6225" s="39"/>
      <c r="F6225" s="40"/>
    </row>
    <row r="6226" spans="2:6">
      <c r="B6226" s="8"/>
      <c r="C6226" s="8"/>
      <c r="D6226" s="8"/>
      <c r="E6226" s="39"/>
      <c r="F6226" s="40"/>
    </row>
    <row r="6227" spans="2:6">
      <c r="B6227" s="8"/>
      <c r="C6227" s="8"/>
      <c r="D6227" s="8"/>
      <c r="E6227" s="39"/>
      <c r="F6227" s="40"/>
    </row>
    <row r="6228" spans="2:6">
      <c r="B6228" s="8"/>
      <c r="C6228" s="8"/>
      <c r="D6228" s="8"/>
      <c r="E6228" s="39"/>
      <c r="F6228" s="40"/>
    </row>
    <row r="6229" spans="2:6">
      <c r="B6229" s="8"/>
      <c r="C6229" s="8"/>
      <c r="D6229" s="8"/>
      <c r="E6229" s="39"/>
      <c r="F6229" s="40"/>
    </row>
    <row r="6230" spans="2:6">
      <c r="B6230" s="8"/>
      <c r="C6230" s="8"/>
      <c r="D6230" s="8"/>
      <c r="E6230" s="39"/>
      <c r="F6230" s="40"/>
    </row>
    <row r="6231" spans="2:6">
      <c r="B6231" s="8"/>
      <c r="C6231" s="8"/>
      <c r="D6231" s="8"/>
      <c r="E6231" s="39"/>
      <c r="F6231" s="40"/>
    </row>
    <row r="6232" spans="2:6">
      <c r="B6232" s="8"/>
      <c r="C6232" s="8"/>
      <c r="D6232" s="8"/>
      <c r="E6232" s="39"/>
      <c r="F6232" s="40"/>
    </row>
    <row r="6233" spans="2:6">
      <c r="B6233" s="8"/>
      <c r="C6233" s="8"/>
      <c r="D6233" s="8"/>
      <c r="E6233" s="39"/>
      <c r="F6233" s="40"/>
    </row>
    <row r="6234" spans="2:6">
      <c r="B6234" s="8"/>
      <c r="C6234" s="8"/>
      <c r="D6234" s="8"/>
      <c r="E6234" s="39"/>
      <c r="F6234" s="40"/>
    </row>
    <row r="6235" spans="2:6">
      <c r="B6235" s="8"/>
      <c r="C6235" s="8"/>
      <c r="D6235" s="8"/>
      <c r="E6235" s="39"/>
      <c r="F6235" s="40"/>
    </row>
    <row r="6236" spans="2:6">
      <c r="B6236" s="8"/>
      <c r="C6236" s="8"/>
      <c r="D6236" s="8"/>
      <c r="E6236" s="39"/>
      <c r="F6236" s="40"/>
    </row>
    <row r="6237" spans="2:6">
      <c r="B6237" s="8"/>
      <c r="C6237" s="8"/>
      <c r="D6237" s="8"/>
      <c r="E6237" s="39"/>
      <c r="F6237" s="40"/>
    </row>
    <row r="6238" spans="2:6">
      <c r="B6238" s="8"/>
      <c r="C6238" s="8"/>
      <c r="D6238" s="8"/>
      <c r="E6238" s="39"/>
      <c r="F6238" s="40"/>
    </row>
    <row r="6239" spans="2:6">
      <c r="B6239" s="8"/>
      <c r="C6239" s="8"/>
      <c r="D6239" s="8"/>
      <c r="E6239" s="39"/>
      <c r="F6239" s="40"/>
    </row>
    <row r="6240" spans="2:6">
      <c r="B6240" s="8"/>
      <c r="C6240" s="8"/>
      <c r="D6240" s="8"/>
      <c r="E6240" s="39"/>
      <c r="F6240" s="40"/>
    </row>
    <row r="6241" spans="2:6">
      <c r="B6241" s="8"/>
      <c r="C6241" s="8"/>
      <c r="D6241" s="8"/>
      <c r="E6241" s="39"/>
      <c r="F6241" s="40"/>
    </row>
    <row r="6242" spans="2:6">
      <c r="B6242" s="8"/>
      <c r="C6242" s="8"/>
      <c r="D6242" s="8"/>
      <c r="E6242" s="39"/>
      <c r="F6242" s="40"/>
    </row>
    <row r="6243" spans="2:6">
      <c r="B6243" s="8"/>
      <c r="C6243" s="8"/>
      <c r="D6243" s="8"/>
      <c r="E6243" s="39"/>
      <c r="F6243" s="40"/>
    </row>
    <row r="6244" spans="2:6">
      <c r="B6244" s="8"/>
      <c r="C6244" s="8"/>
      <c r="D6244" s="8"/>
      <c r="E6244" s="39"/>
      <c r="F6244" s="40"/>
    </row>
    <row r="6245" spans="2:6">
      <c r="B6245" s="8"/>
      <c r="C6245" s="8"/>
      <c r="D6245" s="8"/>
      <c r="E6245" s="39"/>
      <c r="F6245" s="40"/>
    </row>
    <row r="6246" spans="2:6">
      <c r="B6246" s="8"/>
      <c r="C6246" s="8"/>
      <c r="D6246" s="8"/>
      <c r="E6246" s="39"/>
      <c r="F6246" s="40"/>
    </row>
    <row r="6247" spans="2:6">
      <c r="B6247" s="8"/>
      <c r="C6247" s="8"/>
      <c r="D6247" s="8"/>
      <c r="E6247" s="39"/>
      <c r="F6247" s="40"/>
    </row>
    <row r="6248" spans="2:6">
      <c r="B6248" s="8"/>
      <c r="C6248" s="8"/>
      <c r="D6248" s="8"/>
      <c r="E6248" s="39"/>
      <c r="F6248" s="40"/>
    </row>
    <row r="6249" spans="2:6">
      <c r="B6249" s="8"/>
      <c r="C6249" s="8"/>
      <c r="D6249" s="8"/>
      <c r="E6249" s="39"/>
      <c r="F6249" s="40"/>
    </row>
    <row r="6250" spans="2:6">
      <c r="B6250" s="8"/>
      <c r="C6250" s="8"/>
      <c r="D6250" s="8"/>
      <c r="E6250" s="39"/>
      <c r="F6250" s="40"/>
    </row>
    <row r="6251" spans="2:6">
      <c r="B6251" s="8"/>
      <c r="C6251" s="8"/>
      <c r="D6251" s="8"/>
      <c r="E6251" s="39"/>
      <c r="F6251" s="40"/>
    </row>
    <row r="6252" spans="2:6">
      <c r="B6252" s="8"/>
      <c r="C6252" s="8"/>
      <c r="D6252" s="8"/>
      <c r="E6252" s="39"/>
      <c r="F6252" s="40"/>
    </row>
    <row r="6253" spans="2:6">
      <c r="B6253" s="8"/>
      <c r="C6253" s="8"/>
      <c r="D6253" s="8"/>
      <c r="E6253" s="39"/>
      <c r="F6253" s="40"/>
    </row>
    <row r="6254" spans="2:6">
      <c r="B6254" s="8"/>
      <c r="C6254" s="8"/>
      <c r="D6254" s="8"/>
      <c r="E6254" s="39"/>
      <c r="F6254" s="40"/>
    </row>
    <row r="6255" spans="2:6">
      <c r="B6255" s="8"/>
      <c r="C6255" s="8"/>
      <c r="D6255" s="8"/>
      <c r="E6255" s="39"/>
      <c r="F6255" s="40"/>
    </row>
    <row r="6256" spans="2:6">
      <c r="B6256" s="8"/>
      <c r="C6256" s="8"/>
      <c r="D6256" s="8"/>
      <c r="E6256" s="39"/>
      <c r="F6256" s="40"/>
    </row>
    <row r="6257" spans="2:6">
      <c r="B6257" s="8"/>
      <c r="C6257" s="8"/>
      <c r="D6257" s="8"/>
      <c r="E6257" s="39"/>
      <c r="F6257" s="40"/>
    </row>
    <row r="6258" spans="2:6">
      <c r="B6258" s="8"/>
      <c r="C6258" s="8"/>
      <c r="D6258" s="8"/>
      <c r="E6258" s="39"/>
      <c r="F6258" s="40"/>
    </row>
    <row r="6259" spans="2:6">
      <c r="B6259" s="8"/>
      <c r="C6259" s="8"/>
      <c r="D6259" s="8"/>
      <c r="E6259" s="39"/>
      <c r="F6259" s="40"/>
    </row>
    <row r="6260" spans="2:6">
      <c r="B6260" s="8"/>
      <c r="C6260" s="8"/>
      <c r="D6260" s="8"/>
      <c r="E6260" s="39"/>
      <c r="F6260" s="40"/>
    </row>
    <row r="6261" spans="2:6">
      <c r="B6261" s="8"/>
      <c r="C6261" s="8"/>
      <c r="D6261" s="8"/>
      <c r="E6261" s="39"/>
      <c r="F6261" s="40"/>
    </row>
    <row r="6262" spans="2:6">
      <c r="B6262" s="8"/>
      <c r="C6262" s="8"/>
      <c r="D6262" s="8"/>
      <c r="E6262" s="39"/>
      <c r="F6262" s="40"/>
    </row>
    <row r="6263" spans="2:6">
      <c r="B6263" s="8"/>
      <c r="C6263" s="8"/>
      <c r="D6263" s="8"/>
      <c r="E6263" s="39"/>
      <c r="F6263" s="40"/>
    </row>
    <row r="6264" spans="2:6">
      <c r="B6264" s="8"/>
      <c r="C6264" s="8"/>
      <c r="D6264" s="8"/>
      <c r="E6264" s="39"/>
      <c r="F6264" s="40"/>
    </row>
    <row r="6265" spans="2:6">
      <c r="B6265" s="8"/>
      <c r="C6265" s="8"/>
      <c r="D6265" s="8"/>
      <c r="E6265" s="39"/>
      <c r="F6265" s="40"/>
    </row>
    <row r="6266" spans="2:6">
      <c r="B6266" s="8"/>
      <c r="C6266" s="8"/>
      <c r="D6266" s="8"/>
      <c r="E6266" s="39"/>
      <c r="F6266" s="40"/>
    </row>
    <row r="6267" spans="2:6">
      <c r="B6267" s="8"/>
      <c r="C6267" s="8"/>
      <c r="D6267" s="8"/>
      <c r="E6267" s="39"/>
      <c r="F6267" s="40"/>
    </row>
    <row r="6268" spans="2:6">
      <c r="B6268" s="8"/>
      <c r="C6268" s="8"/>
      <c r="D6268" s="8"/>
      <c r="E6268" s="39"/>
      <c r="F6268" s="40"/>
    </row>
    <row r="6269" spans="2:6">
      <c r="B6269" s="8"/>
      <c r="C6269" s="8"/>
      <c r="D6269" s="8"/>
      <c r="E6269" s="39"/>
      <c r="F6269" s="40"/>
    </row>
    <row r="6270" spans="2:6">
      <c r="B6270" s="8"/>
      <c r="C6270" s="8"/>
      <c r="D6270" s="8"/>
      <c r="E6270" s="39"/>
      <c r="F6270" s="40"/>
    </row>
    <row r="6271" spans="2:6">
      <c r="B6271" s="8"/>
      <c r="C6271" s="8"/>
      <c r="D6271" s="8"/>
      <c r="E6271" s="39"/>
      <c r="F6271" s="40"/>
    </row>
    <row r="6272" spans="2:6">
      <c r="B6272" s="8"/>
      <c r="C6272" s="8"/>
      <c r="D6272" s="8"/>
      <c r="E6272" s="39"/>
      <c r="F6272" s="40"/>
    </row>
    <row r="6273" spans="2:6">
      <c r="B6273" s="8"/>
      <c r="C6273" s="8"/>
      <c r="D6273" s="8"/>
      <c r="E6273" s="39"/>
      <c r="F6273" s="40"/>
    </row>
    <row r="6274" spans="2:6">
      <c r="B6274" s="8"/>
      <c r="C6274" s="8"/>
      <c r="D6274" s="8"/>
      <c r="E6274" s="39"/>
      <c r="F6274" s="40"/>
    </row>
    <row r="6275" spans="2:6">
      <c r="B6275" s="8"/>
      <c r="C6275" s="8"/>
      <c r="D6275" s="8"/>
      <c r="E6275" s="39"/>
      <c r="F6275" s="40"/>
    </row>
    <row r="6276" spans="2:6">
      <c r="B6276" s="8"/>
      <c r="C6276" s="8"/>
      <c r="D6276" s="8"/>
      <c r="E6276" s="39"/>
      <c r="F6276" s="40"/>
    </row>
    <row r="6277" spans="2:6">
      <c r="B6277" s="8"/>
      <c r="C6277" s="8"/>
      <c r="D6277" s="8"/>
      <c r="E6277" s="39"/>
      <c r="F6277" s="40"/>
    </row>
    <row r="6278" spans="2:6">
      <c r="B6278" s="8"/>
      <c r="C6278" s="8"/>
      <c r="D6278" s="8"/>
      <c r="E6278" s="39"/>
      <c r="F6278" s="40"/>
    </row>
    <row r="6279" spans="2:6">
      <c r="B6279" s="8"/>
      <c r="C6279" s="8"/>
      <c r="D6279" s="8"/>
      <c r="E6279" s="39"/>
      <c r="F6279" s="40"/>
    </row>
    <row r="6280" spans="2:6">
      <c r="B6280" s="8"/>
      <c r="C6280" s="8"/>
      <c r="D6280" s="8"/>
      <c r="E6280" s="39"/>
      <c r="F6280" s="40"/>
    </row>
    <row r="6281" spans="2:6">
      <c r="B6281" s="8"/>
      <c r="C6281" s="8"/>
      <c r="D6281" s="8"/>
      <c r="E6281" s="39"/>
      <c r="F6281" s="40"/>
    </row>
    <row r="6282" spans="2:6">
      <c r="B6282" s="8"/>
      <c r="C6282" s="8"/>
      <c r="D6282" s="8"/>
      <c r="E6282" s="39"/>
      <c r="F6282" s="40"/>
    </row>
    <row r="6283" spans="2:6">
      <c r="B6283" s="8"/>
      <c r="C6283" s="8"/>
      <c r="D6283" s="8"/>
      <c r="E6283" s="39"/>
      <c r="F6283" s="40"/>
    </row>
    <row r="6284" spans="2:6">
      <c r="B6284" s="8"/>
      <c r="C6284" s="8"/>
      <c r="D6284" s="8"/>
      <c r="E6284" s="39"/>
      <c r="F6284" s="40"/>
    </row>
    <row r="6285" spans="2:6">
      <c r="B6285" s="8"/>
      <c r="C6285" s="8"/>
      <c r="D6285" s="8"/>
      <c r="E6285" s="39"/>
      <c r="F6285" s="40"/>
    </row>
    <row r="6286" spans="2:6">
      <c r="B6286" s="8"/>
      <c r="C6286" s="8"/>
      <c r="D6286" s="8"/>
      <c r="E6286" s="39"/>
      <c r="F6286" s="40"/>
    </row>
    <row r="6287" spans="2:6">
      <c r="B6287" s="8"/>
      <c r="C6287" s="8"/>
      <c r="D6287" s="8"/>
      <c r="E6287" s="39"/>
      <c r="F6287" s="40"/>
    </row>
    <row r="6288" spans="2:6">
      <c r="B6288" s="8"/>
      <c r="C6288" s="8"/>
      <c r="D6288" s="8"/>
      <c r="E6288" s="39"/>
      <c r="F6288" s="40"/>
    </row>
    <row r="6289" spans="2:6">
      <c r="B6289" s="8"/>
      <c r="C6289" s="8"/>
      <c r="D6289" s="8"/>
      <c r="E6289" s="39"/>
      <c r="F6289" s="40"/>
    </row>
    <row r="6290" spans="2:6">
      <c r="B6290" s="8"/>
      <c r="C6290" s="8"/>
      <c r="D6290" s="8"/>
      <c r="E6290" s="39"/>
      <c r="F6290" s="40"/>
    </row>
    <row r="6291" spans="2:6">
      <c r="B6291" s="8"/>
      <c r="C6291" s="8"/>
      <c r="D6291" s="8"/>
      <c r="E6291" s="39"/>
      <c r="F6291" s="40"/>
    </row>
    <row r="6292" spans="2:6">
      <c r="B6292" s="8"/>
      <c r="C6292" s="8"/>
      <c r="D6292" s="8"/>
      <c r="E6292" s="39"/>
      <c r="F6292" s="40"/>
    </row>
    <row r="6293" spans="2:6">
      <c r="B6293" s="8"/>
      <c r="C6293" s="8"/>
      <c r="D6293" s="8"/>
      <c r="E6293" s="39"/>
      <c r="F6293" s="40"/>
    </row>
    <row r="6294" spans="2:6">
      <c r="B6294" s="8"/>
      <c r="C6294" s="8"/>
      <c r="D6294" s="8"/>
      <c r="E6294" s="39"/>
      <c r="F6294" s="40"/>
    </row>
    <row r="6295" spans="2:6">
      <c r="B6295" s="8"/>
      <c r="C6295" s="8"/>
      <c r="D6295" s="8"/>
      <c r="E6295" s="39"/>
      <c r="F6295" s="40"/>
    </row>
    <row r="6296" spans="2:6">
      <c r="B6296" s="8"/>
      <c r="C6296" s="8"/>
      <c r="D6296" s="8"/>
      <c r="E6296" s="39"/>
      <c r="F6296" s="40"/>
    </row>
    <row r="6297" spans="2:6">
      <c r="B6297" s="8"/>
      <c r="C6297" s="8"/>
      <c r="D6297" s="8"/>
      <c r="E6297" s="39"/>
      <c r="F6297" s="40"/>
    </row>
    <row r="6298" spans="2:6">
      <c r="B6298" s="8"/>
      <c r="C6298" s="8"/>
      <c r="D6298" s="8"/>
      <c r="E6298" s="39"/>
      <c r="F6298" s="40"/>
    </row>
    <row r="6299" spans="2:6">
      <c r="B6299" s="8"/>
      <c r="C6299" s="8"/>
      <c r="D6299" s="8"/>
      <c r="E6299" s="39"/>
      <c r="F6299" s="40"/>
    </row>
    <row r="6300" spans="2:6">
      <c r="B6300" s="8"/>
      <c r="C6300" s="8"/>
      <c r="D6300" s="8"/>
      <c r="E6300" s="39"/>
      <c r="F6300" s="40"/>
    </row>
    <row r="6301" spans="2:6">
      <c r="B6301" s="8"/>
      <c r="C6301" s="8"/>
      <c r="D6301" s="8"/>
      <c r="E6301" s="39"/>
      <c r="F6301" s="40"/>
    </row>
    <row r="6302" spans="2:6">
      <c r="B6302" s="8"/>
      <c r="C6302" s="8"/>
      <c r="D6302" s="8"/>
      <c r="E6302" s="39"/>
      <c r="F6302" s="40"/>
    </row>
    <row r="6303" spans="2:6">
      <c r="B6303" s="8"/>
      <c r="C6303" s="8"/>
      <c r="D6303" s="8"/>
      <c r="E6303" s="39"/>
      <c r="F6303" s="40"/>
    </row>
    <row r="6304" spans="2:6">
      <c r="B6304" s="8"/>
      <c r="C6304" s="8"/>
      <c r="D6304" s="8"/>
      <c r="E6304" s="39"/>
      <c r="F6304" s="40"/>
    </row>
    <row r="6305" spans="2:6">
      <c r="B6305" s="8"/>
      <c r="C6305" s="8"/>
      <c r="D6305" s="8"/>
      <c r="E6305" s="39"/>
      <c r="F6305" s="40"/>
    </row>
    <row r="6306" spans="2:6">
      <c r="B6306" s="8"/>
      <c r="C6306" s="8"/>
      <c r="D6306" s="8"/>
      <c r="E6306" s="39"/>
      <c r="F6306" s="40"/>
    </row>
    <row r="6307" spans="2:6">
      <c r="B6307" s="8"/>
      <c r="C6307" s="8"/>
      <c r="D6307" s="8"/>
      <c r="E6307" s="39"/>
      <c r="F6307" s="40"/>
    </row>
    <row r="6308" spans="2:6">
      <c r="B6308" s="8"/>
      <c r="C6308" s="8"/>
      <c r="D6308" s="8"/>
      <c r="E6308" s="39"/>
      <c r="F6308" s="40"/>
    </row>
    <row r="6309" spans="2:6">
      <c r="B6309" s="8"/>
      <c r="C6309" s="8"/>
      <c r="D6309" s="8"/>
      <c r="E6309" s="39"/>
      <c r="F6309" s="40"/>
    </row>
    <row r="6310" spans="2:6">
      <c r="B6310" s="8"/>
      <c r="C6310" s="8"/>
      <c r="D6310" s="8"/>
      <c r="E6310" s="39"/>
      <c r="F6310" s="40"/>
    </row>
    <row r="6311" spans="2:6">
      <c r="B6311" s="8"/>
      <c r="C6311" s="8"/>
      <c r="D6311" s="8"/>
      <c r="E6311" s="39"/>
      <c r="F6311" s="40"/>
    </row>
    <row r="6312" spans="2:6">
      <c r="B6312" s="8"/>
      <c r="C6312" s="8"/>
      <c r="D6312" s="8"/>
      <c r="E6312" s="39"/>
      <c r="F6312" s="40"/>
    </row>
    <row r="6313" spans="2:6">
      <c r="B6313" s="8"/>
      <c r="C6313" s="8"/>
      <c r="D6313" s="8"/>
      <c r="E6313" s="39"/>
      <c r="F6313" s="40"/>
    </row>
    <row r="6314" spans="2:6">
      <c r="B6314" s="8"/>
      <c r="C6314" s="8"/>
      <c r="D6314" s="8"/>
      <c r="E6314" s="39"/>
      <c r="F6314" s="40"/>
    </row>
    <row r="6315" spans="2:6">
      <c r="B6315" s="8"/>
      <c r="C6315" s="8"/>
      <c r="D6315" s="8"/>
      <c r="E6315" s="39"/>
      <c r="F6315" s="40"/>
    </row>
    <row r="6316" spans="2:6">
      <c r="B6316" s="8"/>
      <c r="C6316" s="8"/>
      <c r="D6316" s="8"/>
      <c r="E6316" s="39"/>
      <c r="F6316" s="40"/>
    </row>
    <row r="6317" spans="2:6">
      <c r="B6317" s="8"/>
      <c r="C6317" s="8"/>
      <c r="D6317" s="8"/>
      <c r="E6317" s="39"/>
      <c r="F6317" s="40"/>
    </row>
    <row r="6318" spans="2:6">
      <c r="B6318" s="8"/>
      <c r="C6318" s="8"/>
      <c r="D6318" s="8"/>
      <c r="E6318" s="39"/>
      <c r="F6318" s="40"/>
    </row>
    <row r="6319" spans="2:6">
      <c r="B6319" s="8"/>
      <c r="C6319" s="8"/>
      <c r="D6319" s="8"/>
      <c r="E6319" s="39"/>
      <c r="F6319" s="40"/>
    </row>
    <row r="6320" spans="2:6">
      <c r="B6320" s="8"/>
      <c r="C6320" s="8"/>
      <c r="D6320" s="8"/>
      <c r="E6320" s="39"/>
      <c r="F6320" s="40"/>
    </row>
    <row r="6321" spans="2:6">
      <c r="B6321" s="8"/>
      <c r="C6321" s="8"/>
      <c r="D6321" s="8"/>
      <c r="E6321" s="39"/>
      <c r="F6321" s="40"/>
    </row>
    <row r="6322" spans="2:6">
      <c r="B6322" s="8"/>
      <c r="C6322" s="8"/>
      <c r="D6322" s="8"/>
      <c r="E6322" s="39"/>
      <c r="F6322" s="40"/>
    </row>
    <row r="6323" spans="2:6">
      <c r="B6323" s="8"/>
      <c r="C6323" s="8"/>
      <c r="D6323" s="8"/>
      <c r="E6323" s="39"/>
      <c r="F6323" s="40"/>
    </row>
    <row r="6324" spans="2:6">
      <c r="B6324" s="8"/>
      <c r="C6324" s="8"/>
      <c r="D6324" s="8"/>
      <c r="E6324" s="39"/>
      <c r="F6324" s="40"/>
    </row>
    <row r="6325" spans="2:6">
      <c r="B6325" s="8"/>
      <c r="C6325" s="8"/>
      <c r="D6325" s="8"/>
      <c r="E6325" s="39"/>
      <c r="F6325" s="40"/>
    </row>
    <row r="6326" spans="2:6">
      <c r="B6326" s="8"/>
      <c r="C6326" s="8"/>
      <c r="D6326" s="8"/>
      <c r="E6326" s="39"/>
      <c r="F6326" s="40"/>
    </row>
    <row r="6327" spans="2:6">
      <c r="B6327" s="8"/>
      <c r="C6327" s="8"/>
      <c r="D6327" s="8"/>
      <c r="E6327" s="39"/>
      <c r="F6327" s="40"/>
    </row>
    <row r="6328" spans="2:6">
      <c r="B6328" s="8"/>
      <c r="C6328" s="8"/>
      <c r="D6328" s="8"/>
      <c r="E6328" s="39"/>
      <c r="F6328" s="40"/>
    </row>
    <row r="6329" spans="2:6">
      <c r="B6329" s="8"/>
      <c r="C6329" s="8"/>
      <c r="D6329" s="8"/>
      <c r="E6329" s="39"/>
      <c r="F6329" s="40"/>
    </row>
    <row r="6330" spans="2:6">
      <c r="B6330" s="8"/>
      <c r="C6330" s="8"/>
      <c r="D6330" s="8"/>
      <c r="E6330" s="39"/>
      <c r="F6330" s="40"/>
    </row>
    <row r="6331" spans="2:6">
      <c r="B6331" s="8"/>
      <c r="C6331" s="8"/>
      <c r="D6331" s="8"/>
      <c r="E6331" s="39"/>
      <c r="F6331" s="40"/>
    </row>
    <row r="6332" spans="2:6">
      <c r="B6332" s="8"/>
      <c r="C6332" s="8"/>
      <c r="D6332" s="8"/>
      <c r="E6332" s="39"/>
      <c r="F6332" s="40"/>
    </row>
    <row r="6333" spans="2:6">
      <c r="B6333" s="8"/>
      <c r="C6333" s="8"/>
      <c r="D6333" s="8"/>
      <c r="E6333" s="39"/>
      <c r="F6333" s="40"/>
    </row>
    <row r="6334" spans="2:6">
      <c r="B6334" s="8"/>
      <c r="C6334" s="8"/>
      <c r="D6334" s="8"/>
      <c r="E6334" s="39"/>
      <c r="F6334" s="40"/>
    </row>
    <row r="6335" spans="2:6">
      <c r="B6335" s="8"/>
      <c r="C6335" s="8"/>
      <c r="D6335" s="8"/>
      <c r="E6335" s="39"/>
      <c r="F6335" s="40"/>
    </row>
    <row r="6336" spans="2:6">
      <c r="B6336" s="8"/>
      <c r="C6336" s="8"/>
      <c r="D6336" s="8"/>
      <c r="E6336" s="39"/>
      <c r="F6336" s="40"/>
    </row>
    <row r="6337" spans="2:6">
      <c r="B6337" s="8"/>
      <c r="C6337" s="8"/>
      <c r="D6337" s="8"/>
      <c r="E6337" s="39"/>
      <c r="F6337" s="40"/>
    </row>
    <row r="6338" spans="2:6">
      <c r="B6338" s="8"/>
      <c r="C6338" s="8"/>
      <c r="D6338" s="8"/>
      <c r="E6338" s="39"/>
      <c r="F6338" s="40"/>
    </row>
    <row r="6339" spans="2:6">
      <c r="B6339" s="8"/>
      <c r="C6339" s="8"/>
      <c r="D6339" s="8"/>
      <c r="E6339" s="39"/>
      <c r="F6339" s="40"/>
    </row>
    <row r="6340" spans="2:6">
      <c r="B6340" s="8"/>
      <c r="C6340" s="8"/>
      <c r="D6340" s="8"/>
      <c r="E6340" s="39"/>
      <c r="F6340" s="40"/>
    </row>
    <row r="6341" spans="2:6">
      <c r="B6341" s="8"/>
      <c r="C6341" s="8"/>
      <c r="D6341" s="8"/>
      <c r="E6341" s="39"/>
      <c r="F6341" s="40"/>
    </row>
    <row r="6342" spans="2:6">
      <c r="B6342" s="8"/>
      <c r="C6342" s="8"/>
      <c r="D6342" s="8"/>
      <c r="E6342" s="39"/>
      <c r="F6342" s="40"/>
    </row>
    <row r="6343" spans="2:6">
      <c r="B6343" s="8"/>
      <c r="C6343" s="8"/>
      <c r="D6343" s="8"/>
      <c r="E6343" s="39"/>
      <c r="F6343" s="40"/>
    </row>
    <row r="6344" spans="2:6">
      <c r="B6344" s="8"/>
      <c r="C6344" s="8"/>
      <c r="D6344" s="8"/>
      <c r="E6344" s="39"/>
      <c r="F6344" s="40"/>
    </row>
    <row r="6345" spans="2:6">
      <c r="B6345" s="8"/>
      <c r="C6345" s="8"/>
      <c r="D6345" s="8"/>
      <c r="E6345" s="39"/>
      <c r="F6345" s="40"/>
    </row>
    <row r="6346" spans="2:6">
      <c r="B6346" s="8"/>
      <c r="C6346" s="8"/>
      <c r="D6346" s="8"/>
      <c r="E6346" s="39"/>
      <c r="F6346" s="40"/>
    </row>
    <row r="6347" spans="2:6">
      <c r="B6347" s="8"/>
      <c r="C6347" s="8"/>
      <c r="D6347" s="8"/>
      <c r="E6347" s="39"/>
      <c r="F6347" s="40"/>
    </row>
    <row r="6348" spans="2:6">
      <c r="B6348" s="8"/>
      <c r="C6348" s="8"/>
      <c r="D6348" s="8"/>
      <c r="E6348" s="39"/>
      <c r="F6348" s="40"/>
    </row>
    <row r="6349" spans="2:6">
      <c r="B6349" s="8"/>
      <c r="C6349" s="8"/>
      <c r="D6349" s="8"/>
      <c r="E6349" s="39"/>
      <c r="F6349" s="40"/>
    </row>
    <row r="6350" spans="2:6">
      <c r="B6350" s="8"/>
      <c r="C6350" s="8"/>
      <c r="D6350" s="8"/>
      <c r="E6350" s="39"/>
      <c r="F6350" s="40"/>
    </row>
    <row r="6351" spans="2:6">
      <c r="B6351" s="8"/>
      <c r="C6351" s="8"/>
      <c r="D6351" s="8"/>
      <c r="E6351" s="39"/>
      <c r="F6351" s="40"/>
    </row>
    <row r="6352" spans="2:6">
      <c r="B6352" s="8"/>
      <c r="C6352" s="8"/>
      <c r="D6352" s="8"/>
      <c r="E6352" s="39"/>
      <c r="F6352" s="40"/>
    </row>
    <row r="6353" spans="2:6">
      <c r="B6353" s="8"/>
      <c r="C6353" s="8"/>
      <c r="D6353" s="8"/>
      <c r="E6353" s="39"/>
      <c r="F6353" s="40"/>
    </row>
    <row r="6354" spans="2:6">
      <c r="B6354" s="8"/>
      <c r="C6354" s="8"/>
      <c r="D6354" s="8"/>
      <c r="E6354" s="39"/>
      <c r="F6354" s="40"/>
    </row>
    <row r="6355" spans="2:6">
      <c r="B6355" s="8"/>
      <c r="C6355" s="8"/>
      <c r="D6355" s="8"/>
      <c r="E6355" s="39"/>
      <c r="F6355" s="40"/>
    </row>
    <row r="6356" spans="2:6">
      <c r="B6356" s="8"/>
      <c r="C6356" s="8"/>
      <c r="D6356" s="8"/>
      <c r="E6356" s="39"/>
      <c r="F6356" s="40"/>
    </row>
    <row r="6357" spans="2:6">
      <c r="B6357" s="8"/>
      <c r="C6357" s="8"/>
      <c r="D6357" s="8"/>
      <c r="E6357" s="39"/>
      <c r="F6357" s="40"/>
    </row>
    <row r="6358" spans="2:6">
      <c r="B6358" s="8"/>
      <c r="C6358" s="8"/>
      <c r="D6358" s="8"/>
      <c r="E6358" s="39"/>
      <c r="F6358" s="40"/>
    </row>
    <row r="6359" spans="2:6">
      <c r="B6359" s="8"/>
      <c r="C6359" s="8"/>
      <c r="D6359" s="8"/>
      <c r="E6359" s="39"/>
      <c r="F6359" s="40"/>
    </row>
    <row r="6360" spans="2:6">
      <c r="B6360" s="8"/>
      <c r="C6360" s="8"/>
      <c r="D6360" s="8"/>
      <c r="E6360" s="39"/>
      <c r="F6360" s="40"/>
    </row>
    <row r="6361" spans="2:6">
      <c r="B6361" s="8"/>
      <c r="C6361" s="8"/>
      <c r="D6361" s="8"/>
      <c r="E6361" s="39"/>
      <c r="F6361" s="40"/>
    </row>
    <row r="6362" spans="2:6">
      <c r="B6362" s="8"/>
      <c r="C6362" s="8"/>
      <c r="D6362" s="8"/>
      <c r="E6362" s="39"/>
      <c r="F6362" s="40"/>
    </row>
    <row r="6363" spans="2:6">
      <c r="B6363" s="8"/>
      <c r="C6363" s="8"/>
      <c r="D6363" s="8"/>
      <c r="E6363" s="39"/>
      <c r="F6363" s="40"/>
    </row>
    <row r="6364" spans="2:6">
      <c r="B6364" s="8"/>
      <c r="C6364" s="8"/>
      <c r="D6364" s="8"/>
      <c r="E6364" s="39"/>
      <c r="F6364" s="40"/>
    </row>
    <row r="6365" spans="2:6">
      <c r="B6365" s="8"/>
      <c r="C6365" s="8"/>
      <c r="D6365" s="8"/>
      <c r="E6365" s="39"/>
      <c r="F6365" s="40"/>
    </row>
    <row r="6366" spans="2:6">
      <c r="B6366" s="8"/>
      <c r="C6366" s="8"/>
      <c r="D6366" s="8"/>
      <c r="E6366" s="39"/>
      <c r="F6366" s="40"/>
    </row>
    <row r="6367" spans="2:6">
      <c r="B6367" s="8"/>
      <c r="C6367" s="8"/>
      <c r="D6367" s="8"/>
      <c r="E6367" s="39"/>
      <c r="F6367" s="40"/>
    </row>
    <row r="6368" spans="2:6">
      <c r="B6368" s="8"/>
      <c r="C6368" s="8"/>
      <c r="D6368" s="8"/>
      <c r="E6368" s="39"/>
      <c r="F6368" s="40"/>
    </row>
    <row r="6369" spans="2:6">
      <c r="B6369" s="8"/>
      <c r="C6369" s="8"/>
      <c r="D6369" s="8"/>
      <c r="E6369" s="39"/>
      <c r="F6369" s="40"/>
    </row>
    <row r="6370" spans="2:6">
      <c r="B6370" s="8"/>
      <c r="C6370" s="8"/>
      <c r="D6370" s="8"/>
      <c r="E6370" s="39"/>
      <c r="F6370" s="40"/>
    </row>
    <row r="6371" spans="2:6">
      <c r="B6371" s="8"/>
      <c r="C6371" s="8"/>
      <c r="D6371" s="8"/>
      <c r="E6371" s="39"/>
      <c r="F6371" s="40"/>
    </row>
    <row r="6372" spans="2:6">
      <c r="B6372" s="8"/>
      <c r="C6372" s="8"/>
      <c r="D6372" s="8"/>
      <c r="E6372" s="39"/>
      <c r="F6372" s="40"/>
    </row>
    <row r="6373" spans="2:6">
      <c r="B6373" s="8"/>
      <c r="C6373" s="8"/>
      <c r="D6373" s="8"/>
      <c r="E6373" s="39"/>
      <c r="F6373" s="40"/>
    </row>
    <row r="6374" spans="2:6">
      <c r="B6374" s="8"/>
      <c r="C6374" s="8"/>
      <c r="D6374" s="8"/>
      <c r="E6374" s="39"/>
      <c r="F6374" s="40"/>
    </row>
    <row r="6375" spans="2:6">
      <c r="B6375" s="8"/>
      <c r="C6375" s="8"/>
      <c r="D6375" s="8"/>
      <c r="E6375" s="39"/>
      <c r="F6375" s="40"/>
    </row>
    <row r="6376" spans="2:6">
      <c r="B6376" s="8"/>
      <c r="C6376" s="8"/>
      <c r="D6376" s="8"/>
      <c r="E6376" s="39"/>
      <c r="F6376" s="40"/>
    </row>
    <row r="6377" spans="2:6">
      <c r="B6377" s="8"/>
      <c r="C6377" s="8"/>
      <c r="D6377" s="8"/>
      <c r="E6377" s="39"/>
      <c r="F6377" s="40"/>
    </row>
    <row r="6378" spans="2:6">
      <c r="B6378" s="8"/>
      <c r="C6378" s="8"/>
      <c r="D6378" s="8"/>
      <c r="E6378" s="39"/>
      <c r="F6378" s="40"/>
    </row>
    <row r="6379" spans="2:6">
      <c r="B6379" s="8"/>
      <c r="C6379" s="8"/>
      <c r="D6379" s="8"/>
      <c r="E6379" s="39"/>
      <c r="F6379" s="40"/>
    </row>
    <row r="6380" spans="2:6">
      <c r="B6380" s="8"/>
      <c r="C6380" s="8"/>
      <c r="D6380" s="8"/>
      <c r="E6380" s="39"/>
      <c r="F6380" s="40"/>
    </row>
    <row r="6381" spans="2:6">
      <c r="B6381" s="8"/>
      <c r="C6381" s="8"/>
      <c r="D6381" s="8"/>
      <c r="E6381" s="39"/>
      <c r="F6381" s="40"/>
    </row>
    <row r="6382" spans="2:6">
      <c r="B6382" s="8"/>
      <c r="C6382" s="8"/>
      <c r="D6382" s="8"/>
      <c r="E6382" s="39"/>
      <c r="F6382" s="40"/>
    </row>
    <row r="6383" spans="2:6">
      <c r="B6383" s="8"/>
      <c r="C6383" s="8"/>
      <c r="D6383" s="8"/>
      <c r="E6383" s="39"/>
      <c r="F6383" s="40"/>
    </row>
    <row r="6384" spans="2:6">
      <c r="B6384" s="8"/>
      <c r="C6384" s="8"/>
      <c r="D6384" s="8"/>
      <c r="E6384" s="39"/>
      <c r="F6384" s="40"/>
    </row>
    <row r="6385" spans="2:6">
      <c r="B6385" s="8"/>
      <c r="C6385" s="8"/>
      <c r="D6385" s="8"/>
      <c r="E6385" s="39"/>
      <c r="F6385" s="40"/>
    </row>
    <row r="6386" spans="2:6">
      <c r="B6386" s="8"/>
      <c r="C6386" s="8"/>
      <c r="D6386" s="8"/>
      <c r="E6386" s="39"/>
      <c r="F6386" s="40"/>
    </row>
    <row r="6387" spans="2:6">
      <c r="B6387" s="8"/>
      <c r="C6387" s="8"/>
      <c r="D6387" s="8"/>
      <c r="E6387" s="39"/>
      <c r="F6387" s="40"/>
    </row>
    <row r="6388" spans="2:6">
      <c r="B6388" s="8"/>
      <c r="C6388" s="8"/>
      <c r="D6388" s="8"/>
      <c r="E6388" s="39"/>
      <c r="F6388" s="40"/>
    </row>
    <row r="6389" spans="2:6">
      <c r="B6389" s="8"/>
      <c r="C6389" s="8"/>
      <c r="D6389" s="8"/>
      <c r="E6389" s="39"/>
      <c r="F6389" s="40"/>
    </row>
    <row r="6390" spans="2:6">
      <c r="B6390" s="8"/>
      <c r="C6390" s="8"/>
      <c r="D6390" s="8"/>
      <c r="E6390" s="39"/>
      <c r="F6390" s="40"/>
    </row>
    <row r="6391" spans="2:6">
      <c r="B6391" s="8"/>
      <c r="C6391" s="8"/>
      <c r="D6391" s="8"/>
      <c r="E6391" s="39"/>
      <c r="F6391" s="40"/>
    </row>
    <row r="6392" spans="2:6">
      <c r="B6392" s="8"/>
      <c r="C6392" s="8"/>
      <c r="D6392" s="8"/>
      <c r="E6392" s="39"/>
      <c r="F6392" s="40"/>
    </row>
    <row r="6393" spans="2:6">
      <c r="B6393" s="8"/>
      <c r="C6393" s="8"/>
      <c r="D6393" s="8"/>
      <c r="E6393" s="39"/>
      <c r="F6393" s="40"/>
    </row>
    <row r="6394" spans="2:6">
      <c r="B6394" s="8"/>
      <c r="C6394" s="8"/>
      <c r="D6394" s="8"/>
      <c r="E6394" s="39"/>
      <c r="F6394" s="40"/>
    </row>
    <row r="6395" spans="2:6">
      <c r="B6395" s="8"/>
      <c r="C6395" s="8"/>
      <c r="D6395" s="8"/>
      <c r="E6395" s="39"/>
      <c r="F6395" s="40"/>
    </row>
    <row r="6396" spans="2:6">
      <c r="B6396" s="8"/>
      <c r="C6396" s="8"/>
      <c r="D6396" s="8"/>
      <c r="E6396" s="39"/>
      <c r="F6396" s="40"/>
    </row>
    <row r="6397" spans="2:6">
      <c r="B6397" s="8"/>
      <c r="C6397" s="8"/>
      <c r="D6397" s="8"/>
      <c r="E6397" s="39"/>
      <c r="F6397" s="40"/>
    </row>
    <row r="6398" spans="2:6">
      <c r="B6398" s="8"/>
      <c r="C6398" s="8"/>
      <c r="D6398" s="8"/>
      <c r="E6398" s="39"/>
      <c r="F6398" s="40"/>
    </row>
    <row r="6399" spans="2:6">
      <c r="B6399" s="8"/>
      <c r="C6399" s="8"/>
      <c r="D6399" s="8"/>
      <c r="E6399" s="39"/>
      <c r="F6399" s="40"/>
    </row>
    <row r="6400" spans="2:6">
      <c r="B6400" s="8"/>
      <c r="C6400" s="8"/>
      <c r="D6400" s="8"/>
      <c r="E6400" s="39"/>
      <c r="F6400" s="40"/>
    </row>
    <row r="6401" spans="2:6">
      <c r="B6401" s="8"/>
      <c r="C6401" s="8"/>
      <c r="D6401" s="8"/>
      <c r="E6401" s="39"/>
      <c r="F6401" s="40"/>
    </row>
    <row r="6402" spans="2:6">
      <c r="B6402" s="8"/>
      <c r="C6402" s="8"/>
      <c r="D6402" s="8"/>
      <c r="E6402" s="39"/>
      <c r="F6402" s="40"/>
    </row>
    <row r="6403" spans="2:6">
      <c r="B6403" s="8"/>
      <c r="C6403" s="8"/>
      <c r="D6403" s="8"/>
      <c r="E6403" s="39"/>
      <c r="F6403" s="40"/>
    </row>
    <row r="6404" spans="2:6">
      <c r="B6404" s="8"/>
      <c r="C6404" s="8"/>
      <c r="D6404" s="8"/>
      <c r="E6404" s="39"/>
      <c r="F6404" s="40"/>
    </row>
    <row r="6405" spans="2:6">
      <c r="B6405" s="8"/>
      <c r="C6405" s="8"/>
      <c r="D6405" s="8"/>
      <c r="E6405" s="39"/>
      <c r="F6405" s="40"/>
    </row>
    <row r="6406" spans="2:6">
      <c r="B6406" s="8"/>
      <c r="C6406" s="8"/>
      <c r="D6406" s="8"/>
      <c r="E6406" s="39"/>
      <c r="F6406" s="40"/>
    </row>
    <row r="6407" spans="2:6">
      <c r="B6407" s="8"/>
      <c r="C6407" s="8"/>
      <c r="D6407" s="8"/>
      <c r="E6407" s="39"/>
      <c r="F6407" s="40"/>
    </row>
    <row r="6408" spans="2:6">
      <c r="B6408" s="8"/>
      <c r="C6408" s="8"/>
      <c r="D6408" s="8"/>
      <c r="E6408" s="39"/>
      <c r="F6408" s="40"/>
    </row>
    <row r="6409" spans="2:6">
      <c r="B6409" s="8"/>
      <c r="C6409" s="8"/>
      <c r="D6409" s="8"/>
      <c r="E6409" s="39"/>
      <c r="F6409" s="40"/>
    </row>
    <row r="6410" spans="2:6">
      <c r="B6410" s="8"/>
      <c r="C6410" s="8"/>
      <c r="D6410" s="8"/>
      <c r="E6410" s="39"/>
      <c r="F6410" s="40"/>
    </row>
    <row r="6411" spans="2:6">
      <c r="B6411" s="8"/>
      <c r="C6411" s="8"/>
      <c r="D6411" s="8"/>
      <c r="E6411" s="39"/>
      <c r="F6411" s="40"/>
    </row>
    <row r="6412" spans="2:6">
      <c r="B6412" s="8"/>
      <c r="C6412" s="8"/>
      <c r="D6412" s="8"/>
      <c r="E6412" s="39"/>
      <c r="F6412" s="40"/>
    </row>
    <row r="6413" spans="2:6">
      <c r="B6413" s="8"/>
      <c r="C6413" s="8"/>
      <c r="D6413" s="8"/>
      <c r="E6413" s="39"/>
      <c r="F6413" s="40"/>
    </row>
    <row r="6414" spans="2:6">
      <c r="B6414" s="8"/>
      <c r="C6414" s="8"/>
      <c r="D6414" s="8"/>
      <c r="E6414" s="39"/>
      <c r="F6414" s="40"/>
    </row>
    <row r="6415" spans="2:6">
      <c r="B6415" s="8"/>
      <c r="C6415" s="8"/>
      <c r="D6415" s="8"/>
      <c r="E6415" s="39"/>
      <c r="F6415" s="40"/>
    </row>
    <row r="6416" spans="2:6">
      <c r="B6416" s="8"/>
      <c r="C6416" s="8"/>
      <c r="D6416" s="8"/>
      <c r="E6416" s="39"/>
      <c r="F6416" s="40"/>
    </row>
    <row r="6417" spans="2:6">
      <c r="B6417" s="8"/>
      <c r="C6417" s="8"/>
      <c r="D6417" s="8"/>
      <c r="E6417" s="39"/>
      <c r="F6417" s="40"/>
    </row>
    <row r="6418" spans="2:6">
      <c r="B6418" s="8"/>
      <c r="C6418" s="8"/>
      <c r="D6418" s="8"/>
      <c r="E6418" s="39"/>
      <c r="F6418" s="40"/>
    </row>
    <row r="6419" spans="2:6">
      <c r="B6419" s="8"/>
      <c r="C6419" s="8"/>
      <c r="D6419" s="8"/>
      <c r="E6419" s="39"/>
      <c r="F6419" s="40"/>
    </row>
    <row r="6420" spans="2:6">
      <c r="B6420" s="8"/>
      <c r="C6420" s="8"/>
      <c r="D6420" s="8"/>
      <c r="E6420" s="39"/>
      <c r="F6420" s="40"/>
    </row>
    <row r="6421" spans="2:6">
      <c r="B6421" s="8"/>
      <c r="C6421" s="8"/>
      <c r="D6421" s="8"/>
      <c r="E6421" s="39"/>
      <c r="F6421" s="40"/>
    </row>
    <row r="6422" spans="2:6">
      <c r="B6422" s="8"/>
      <c r="C6422" s="8"/>
      <c r="D6422" s="8"/>
      <c r="E6422" s="39"/>
      <c r="F6422" s="40"/>
    </row>
    <row r="6423" spans="2:6">
      <c r="B6423" s="8"/>
      <c r="C6423" s="8"/>
      <c r="D6423" s="8"/>
      <c r="E6423" s="39"/>
      <c r="F6423" s="40"/>
    </row>
    <row r="6424" spans="2:6">
      <c r="B6424" s="8"/>
      <c r="C6424" s="8"/>
      <c r="D6424" s="8"/>
      <c r="E6424" s="39"/>
      <c r="F6424" s="40"/>
    </row>
    <row r="6425" spans="2:6">
      <c r="B6425" s="8"/>
      <c r="C6425" s="8"/>
      <c r="D6425" s="8"/>
      <c r="E6425" s="39"/>
      <c r="F6425" s="40"/>
    </row>
    <row r="6426" spans="2:6">
      <c r="B6426" s="8"/>
      <c r="C6426" s="8"/>
      <c r="D6426" s="8"/>
      <c r="E6426" s="39"/>
      <c r="F6426" s="40"/>
    </row>
    <row r="6427" spans="2:6">
      <c r="B6427" s="8"/>
      <c r="C6427" s="8"/>
      <c r="D6427" s="8"/>
      <c r="E6427" s="39"/>
      <c r="F6427" s="40"/>
    </row>
    <row r="6428" spans="2:6">
      <c r="B6428" s="8"/>
      <c r="C6428" s="8"/>
      <c r="D6428" s="8"/>
      <c r="E6428" s="39"/>
      <c r="F6428" s="40"/>
    </row>
    <row r="6429" spans="2:6">
      <c r="B6429" s="8"/>
      <c r="C6429" s="8"/>
      <c r="D6429" s="8"/>
      <c r="E6429" s="39"/>
      <c r="F6429" s="40"/>
    </row>
    <row r="6430" spans="2:6">
      <c r="B6430" s="8"/>
      <c r="C6430" s="8"/>
      <c r="D6430" s="8"/>
      <c r="E6430" s="39"/>
      <c r="F6430" s="40"/>
    </row>
    <row r="6431" spans="2:6">
      <c r="B6431" s="8"/>
      <c r="C6431" s="8"/>
      <c r="D6431" s="8"/>
      <c r="E6431" s="39"/>
      <c r="F6431" s="40"/>
    </row>
    <row r="6432" spans="2:6">
      <c r="B6432" s="8"/>
      <c r="C6432" s="8"/>
      <c r="D6432" s="8"/>
      <c r="E6432" s="39"/>
      <c r="F6432" s="40"/>
    </row>
    <row r="6433" spans="2:6">
      <c r="B6433" s="8"/>
      <c r="C6433" s="8"/>
      <c r="D6433" s="8"/>
      <c r="E6433" s="39"/>
      <c r="F6433" s="40"/>
    </row>
    <row r="6434" spans="2:6">
      <c r="B6434" s="8"/>
      <c r="C6434" s="8"/>
      <c r="D6434" s="8"/>
      <c r="E6434" s="39"/>
      <c r="F6434" s="40"/>
    </row>
    <row r="6435" spans="2:6">
      <c r="B6435" s="8"/>
      <c r="C6435" s="8"/>
      <c r="D6435" s="8"/>
      <c r="E6435" s="39"/>
      <c r="F6435" s="40"/>
    </row>
    <row r="6436" spans="2:6">
      <c r="B6436" s="8"/>
      <c r="C6436" s="8"/>
      <c r="D6436" s="8"/>
      <c r="E6436" s="39"/>
      <c r="F6436" s="40"/>
    </row>
    <row r="6437" spans="2:6">
      <c r="B6437" s="8"/>
      <c r="C6437" s="8"/>
      <c r="D6437" s="8"/>
      <c r="E6437" s="39"/>
      <c r="F6437" s="40"/>
    </row>
    <row r="6438" spans="2:6">
      <c r="B6438" s="8"/>
      <c r="C6438" s="8"/>
      <c r="D6438" s="8"/>
      <c r="E6438" s="39"/>
      <c r="F6438" s="40"/>
    </row>
    <row r="6439" spans="2:6">
      <c r="B6439" s="8"/>
      <c r="C6439" s="8"/>
      <c r="D6439" s="8"/>
      <c r="E6439" s="39"/>
      <c r="F6439" s="40"/>
    </row>
    <row r="6440" spans="2:6">
      <c r="B6440" s="8"/>
      <c r="C6440" s="8"/>
      <c r="D6440" s="8"/>
      <c r="E6440" s="39"/>
      <c r="F6440" s="40"/>
    </row>
    <row r="6441" spans="2:6">
      <c r="B6441" s="8"/>
      <c r="C6441" s="8"/>
      <c r="D6441" s="8"/>
      <c r="E6441" s="39"/>
      <c r="F6441" s="40"/>
    </row>
    <row r="6442" spans="2:6">
      <c r="B6442" s="8"/>
      <c r="C6442" s="8"/>
      <c r="D6442" s="8"/>
      <c r="E6442" s="39"/>
      <c r="F6442" s="40"/>
    </row>
    <row r="6443" spans="2:6">
      <c r="B6443" s="8"/>
      <c r="C6443" s="8"/>
      <c r="D6443" s="8"/>
      <c r="E6443" s="39"/>
      <c r="F6443" s="40"/>
    </row>
    <row r="6444" spans="2:6">
      <c r="B6444" s="8"/>
      <c r="C6444" s="8"/>
      <c r="D6444" s="8"/>
      <c r="E6444" s="39"/>
      <c r="F6444" s="40"/>
    </row>
    <row r="6445" spans="2:6">
      <c r="B6445" s="8"/>
      <c r="C6445" s="8"/>
      <c r="D6445" s="8"/>
      <c r="E6445" s="39"/>
      <c r="F6445" s="40"/>
    </row>
    <row r="6446" spans="2:6">
      <c r="B6446" s="8"/>
      <c r="C6446" s="8"/>
      <c r="D6446" s="8"/>
      <c r="E6446" s="39"/>
      <c r="F6446" s="40"/>
    </row>
    <row r="6447" spans="2:6">
      <c r="B6447" s="8"/>
      <c r="C6447" s="8"/>
      <c r="D6447" s="8"/>
      <c r="E6447" s="39"/>
      <c r="F6447" s="40"/>
    </row>
    <row r="6448" spans="2:6">
      <c r="B6448" s="8"/>
      <c r="C6448" s="8"/>
      <c r="D6448" s="8"/>
      <c r="E6448" s="39"/>
      <c r="F6448" s="40"/>
    </row>
    <row r="6449" spans="2:6">
      <c r="B6449" s="8"/>
      <c r="C6449" s="8"/>
      <c r="D6449" s="8"/>
      <c r="E6449" s="39"/>
      <c r="F6449" s="40"/>
    </row>
    <row r="6450" spans="2:6">
      <c r="B6450" s="8"/>
      <c r="C6450" s="8"/>
      <c r="D6450" s="8"/>
      <c r="E6450" s="39"/>
      <c r="F6450" s="40"/>
    </row>
    <row r="6451" spans="2:6">
      <c r="B6451" s="8"/>
      <c r="C6451" s="8"/>
      <c r="D6451" s="8"/>
      <c r="E6451" s="39"/>
      <c r="F6451" s="40"/>
    </row>
    <row r="6452" spans="2:6">
      <c r="B6452" s="8"/>
      <c r="C6452" s="8"/>
      <c r="D6452" s="8"/>
      <c r="E6452" s="39"/>
      <c r="F6452" s="40"/>
    </row>
    <row r="6453" spans="2:6">
      <c r="B6453" s="8"/>
      <c r="C6453" s="8"/>
      <c r="D6453" s="8"/>
      <c r="E6453" s="39"/>
      <c r="F6453" s="40"/>
    </row>
    <row r="6454" spans="2:6">
      <c r="B6454" s="8"/>
      <c r="C6454" s="8"/>
      <c r="D6454" s="8"/>
      <c r="E6454" s="39"/>
      <c r="F6454" s="40"/>
    </row>
    <row r="6455" spans="2:6">
      <c r="B6455" s="8"/>
      <c r="C6455" s="8"/>
      <c r="D6455" s="8"/>
      <c r="E6455" s="39"/>
      <c r="F6455" s="40"/>
    </row>
    <row r="6456" spans="2:6">
      <c r="B6456" s="8"/>
      <c r="C6456" s="8"/>
      <c r="D6456" s="8"/>
      <c r="E6456" s="39"/>
      <c r="F6456" s="40"/>
    </row>
    <row r="6457" spans="2:6">
      <c r="B6457" s="8"/>
      <c r="C6457" s="8"/>
      <c r="D6457" s="8"/>
      <c r="E6457" s="39"/>
      <c r="F6457" s="40"/>
    </row>
    <row r="6458" spans="2:6">
      <c r="B6458" s="8"/>
      <c r="C6458" s="8"/>
      <c r="D6458" s="8"/>
      <c r="E6458" s="39"/>
      <c r="F6458" s="40"/>
    </row>
    <row r="6459" spans="2:6">
      <c r="B6459" s="8"/>
      <c r="C6459" s="8"/>
      <c r="D6459" s="8"/>
      <c r="E6459" s="39"/>
      <c r="F6459" s="40"/>
    </row>
    <row r="6460" spans="2:6">
      <c r="B6460" s="8"/>
      <c r="C6460" s="8"/>
      <c r="D6460" s="8"/>
      <c r="E6460" s="39"/>
      <c r="F6460" s="40"/>
    </row>
    <row r="6461" spans="2:6">
      <c r="B6461" s="8"/>
      <c r="C6461" s="8"/>
      <c r="D6461" s="8"/>
      <c r="E6461" s="39"/>
      <c r="F6461" s="40"/>
    </row>
    <row r="6462" spans="2:6">
      <c r="B6462" s="8"/>
      <c r="C6462" s="8"/>
      <c r="D6462" s="8"/>
      <c r="E6462" s="39"/>
      <c r="F6462" s="40"/>
    </row>
    <row r="6463" spans="2:6">
      <c r="B6463" s="8"/>
      <c r="C6463" s="8"/>
      <c r="D6463" s="8"/>
      <c r="E6463" s="39"/>
      <c r="F6463" s="40"/>
    </row>
    <row r="6464" spans="2:6">
      <c r="B6464" s="8"/>
      <c r="C6464" s="8"/>
      <c r="D6464" s="8"/>
      <c r="E6464" s="39"/>
      <c r="F6464" s="40"/>
    </row>
    <row r="6465" spans="2:6">
      <c r="B6465" s="8"/>
      <c r="C6465" s="8"/>
      <c r="D6465" s="8"/>
      <c r="E6465" s="39"/>
      <c r="F6465" s="40"/>
    </row>
    <row r="6466" spans="2:6">
      <c r="B6466" s="8"/>
      <c r="C6466" s="8"/>
      <c r="D6466" s="8"/>
      <c r="E6466" s="39"/>
      <c r="F6466" s="40"/>
    </row>
    <row r="6467" spans="2:6">
      <c r="B6467" s="8"/>
      <c r="C6467" s="8"/>
      <c r="D6467" s="8"/>
      <c r="E6467" s="39"/>
      <c r="F6467" s="40"/>
    </row>
    <row r="6468" spans="2:6">
      <c r="B6468" s="8"/>
      <c r="C6468" s="8"/>
      <c r="D6468" s="8"/>
      <c r="E6468" s="39"/>
      <c r="F6468" s="40"/>
    </row>
    <row r="6469" spans="2:6">
      <c r="B6469" s="8"/>
      <c r="C6469" s="8"/>
      <c r="D6469" s="8"/>
      <c r="E6469" s="39"/>
      <c r="F6469" s="40"/>
    </row>
    <row r="6470" spans="2:6">
      <c r="B6470" s="8"/>
      <c r="C6470" s="8"/>
      <c r="D6470" s="8"/>
      <c r="E6470" s="39"/>
      <c r="F6470" s="40"/>
    </row>
    <row r="6471" spans="2:6">
      <c r="B6471" s="8"/>
      <c r="C6471" s="8"/>
      <c r="D6471" s="8"/>
      <c r="E6471" s="39"/>
      <c r="F6471" s="40"/>
    </row>
    <row r="6472" spans="2:6">
      <c r="B6472" s="8"/>
      <c r="C6472" s="8"/>
      <c r="D6472" s="8"/>
      <c r="E6472" s="39"/>
      <c r="F6472" s="40"/>
    </row>
    <row r="6473" spans="2:6">
      <c r="B6473" s="8"/>
      <c r="C6473" s="8"/>
      <c r="D6473" s="8"/>
      <c r="E6473" s="39"/>
      <c r="F6473" s="40"/>
    </row>
    <row r="6474" spans="2:6">
      <c r="B6474" s="8"/>
      <c r="C6474" s="8"/>
      <c r="D6474" s="8"/>
      <c r="E6474" s="39"/>
      <c r="F6474" s="40"/>
    </row>
    <row r="6475" spans="2:6">
      <c r="B6475" s="8"/>
      <c r="C6475" s="8"/>
      <c r="D6475" s="8"/>
      <c r="E6475" s="39"/>
      <c r="F6475" s="40"/>
    </row>
    <row r="6476" spans="2:6">
      <c r="B6476" s="8"/>
      <c r="C6476" s="8"/>
      <c r="D6476" s="8"/>
      <c r="E6476" s="39"/>
      <c r="F6476" s="40"/>
    </row>
    <row r="6477" spans="2:6">
      <c r="B6477" s="8"/>
      <c r="C6477" s="8"/>
      <c r="D6477" s="8"/>
      <c r="E6477" s="39"/>
      <c r="F6477" s="40"/>
    </row>
    <row r="6478" spans="2:6">
      <c r="B6478" s="8"/>
      <c r="C6478" s="8"/>
      <c r="D6478" s="8"/>
      <c r="E6478" s="39"/>
      <c r="F6478" s="40"/>
    </row>
    <row r="6479" spans="2:6">
      <c r="B6479" s="8"/>
      <c r="C6479" s="8"/>
      <c r="D6479" s="8"/>
      <c r="E6479" s="39"/>
      <c r="F6479" s="40"/>
    </row>
    <row r="6480" spans="2:6">
      <c r="B6480" s="8"/>
      <c r="C6480" s="8"/>
      <c r="D6480" s="8"/>
      <c r="E6480" s="39"/>
      <c r="F6480" s="40"/>
    </row>
    <row r="6481" spans="2:6">
      <c r="B6481" s="8"/>
      <c r="C6481" s="8"/>
      <c r="D6481" s="8"/>
      <c r="E6481" s="39"/>
      <c r="F6481" s="40"/>
    </row>
    <row r="6482" spans="2:6">
      <c r="B6482" s="8"/>
      <c r="C6482" s="8"/>
      <c r="D6482" s="8"/>
      <c r="E6482" s="39"/>
      <c r="F6482" s="40"/>
    </row>
    <row r="6483" spans="2:6">
      <c r="B6483" s="8"/>
      <c r="C6483" s="8"/>
      <c r="D6483" s="8"/>
      <c r="E6483" s="39"/>
      <c r="F6483" s="40"/>
    </row>
    <row r="6484" spans="2:6">
      <c r="B6484" s="8"/>
      <c r="C6484" s="8"/>
      <c r="D6484" s="8"/>
      <c r="E6484" s="39"/>
      <c r="F6484" s="40"/>
    </row>
    <row r="6485" spans="2:6">
      <c r="B6485" s="8"/>
      <c r="C6485" s="8"/>
      <c r="D6485" s="8"/>
      <c r="E6485" s="39"/>
      <c r="F6485" s="40"/>
    </row>
    <row r="6486" spans="2:6">
      <c r="B6486" s="8"/>
      <c r="C6486" s="8"/>
      <c r="D6486" s="8"/>
      <c r="E6486" s="39"/>
      <c r="F6486" s="40"/>
    </row>
    <row r="6487" spans="2:6">
      <c r="B6487" s="8"/>
      <c r="C6487" s="8"/>
      <c r="D6487" s="8"/>
      <c r="E6487" s="39"/>
      <c r="F6487" s="40"/>
    </row>
    <row r="6488" spans="2:6">
      <c r="B6488" s="8"/>
      <c r="C6488" s="8"/>
      <c r="D6488" s="8"/>
      <c r="E6488" s="39"/>
      <c r="F6488" s="40"/>
    </row>
    <row r="6489" spans="2:6">
      <c r="B6489" s="8"/>
      <c r="C6489" s="8"/>
      <c r="D6489" s="8"/>
      <c r="E6489" s="39"/>
      <c r="F6489" s="40"/>
    </row>
    <row r="6490" spans="2:6">
      <c r="B6490" s="8"/>
      <c r="C6490" s="8"/>
      <c r="D6490" s="8"/>
      <c r="E6490" s="39"/>
      <c r="F6490" s="40"/>
    </row>
    <row r="6491" spans="2:6">
      <c r="B6491" s="8"/>
      <c r="C6491" s="8"/>
      <c r="D6491" s="8"/>
      <c r="E6491" s="39"/>
      <c r="F6491" s="40"/>
    </row>
    <row r="6492" spans="2:6">
      <c r="B6492" s="8"/>
      <c r="C6492" s="8"/>
      <c r="D6492" s="8"/>
      <c r="E6492" s="39"/>
      <c r="F6492" s="40"/>
    </row>
    <row r="6493" spans="2:6">
      <c r="B6493" s="8"/>
      <c r="C6493" s="8"/>
      <c r="D6493" s="8"/>
      <c r="E6493" s="39"/>
      <c r="F6493" s="40"/>
    </row>
    <row r="6494" spans="2:6">
      <c r="B6494" s="8"/>
      <c r="C6494" s="8"/>
      <c r="D6494" s="8"/>
      <c r="E6494" s="39"/>
      <c r="F6494" s="40"/>
    </row>
    <row r="6495" spans="2:6">
      <c r="B6495" s="8"/>
      <c r="C6495" s="8"/>
      <c r="D6495" s="8"/>
      <c r="E6495" s="39"/>
      <c r="F6495" s="40"/>
    </row>
    <row r="6496" spans="2:6">
      <c r="B6496" s="8"/>
      <c r="C6496" s="8"/>
      <c r="D6496" s="8"/>
      <c r="E6496" s="39"/>
      <c r="F6496" s="40"/>
    </row>
    <row r="6497" spans="2:6">
      <c r="B6497" s="8"/>
      <c r="C6497" s="8"/>
      <c r="D6497" s="8"/>
      <c r="E6497" s="39"/>
      <c r="F6497" s="40"/>
    </row>
    <row r="6498" spans="2:6">
      <c r="B6498" s="8"/>
      <c r="C6498" s="8"/>
      <c r="D6498" s="8"/>
      <c r="E6498" s="39"/>
      <c r="F6498" s="40"/>
    </row>
    <row r="6499" spans="2:6">
      <c r="B6499" s="8"/>
      <c r="C6499" s="8"/>
      <c r="D6499" s="8"/>
      <c r="E6499" s="39"/>
      <c r="F6499" s="40"/>
    </row>
    <row r="6500" spans="2:6">
      <c r="B6500" s="8"/>
      <c r="C6500" s="8"/>
      <c r="D6500" s="8"/>
      <c r="E6500" s="39"/>
      <c r="F6500" s="40"/>
    </row>
    <row r="6501" spans="2:6">
      <c r="B6501" s="8"/>
      <c r="C6501" s="8"/>
      <c r="D6501" s="8"/>
      <c r="E6501" s="39"/>
      <c r="F6501" s="40"/>
    </row>
    <row r="6502" spans="2:6">
      <c r="B6502" s="8"/>
      <c r="C6502" s="8"/>
      <c r="D6502" s="8"/>
      <c r="E6502" s="39"/>
      <c r="F6502" s="40"/>
    </row>
    <row r="6503" spans="2:6">
      <c r="B6503" s="8"/>
      <c r="C6503" s="8"/>
      <c r="D6503" s="8"/>
      <c r="E6503" s="39"/>
      <c r="F6503" s="40"/>
    </row>
    <row r="6504" spans="2:6">
      <c r="B6504" s="8"/>
      <c r="C6504" s="8"/>
      <c r="D6504" s="8"/>
      <c r="E6504" s="39"/>
      <c r="F6504" s="40"/>
    </row>
    <row r="6505" spans="2:6">
      <c r="B6505" s="8"/>
      <c r="C6505" s="8"/>
      <c r="D6505" s="8"/>
      <c r="E6505" s="39"/>
      <c r="F6505" s="40"/>
    </row>
    <row r="6506" spans="2:6">
      <c r="B6506" s="8"/>
      <c r="C6506" s="8"/>
      <c r="D6506" s="8"/>
      <c r="E6506" s="39"/>
      <c r="F6506" s="40"/>
    </row>
    <row r="6507" spans="2:6">
      <c r="B6507" s="8"/>
      <c r="C6507" s="8"/>
      <c r="D6507" s="8"/>
      <c r="E6507" s="39"/>
      <c r="F6507" s="40"/>
    </row>
    <row r="6508" spans="2:6">
      <c r="B6508" s="8"/>
      <c r="C6508" s="8"/>
      <c r="D6508" s="8"/>
      <c r="E6508" s="39"/>
      <c r="F6508" s="40"/>
    </row>
    <row r="6509" spans="2:6">
      <c r="B6509" s="8"/>
      <c r="C6509" s="8"/>
      <c r="D6509" s="8"/>
      <c r="E6509" s="39"/>
      <c r="F6509" s="40"/>
    </row>
    <row r="6510" spans="2:6">
      <c r="B6510" s="8"/>
      <c r="C6510" s="8"/>
      <c r="D6510" s="8"/>
      <c r="E6510" s="39"/>
      <c r="F6510" s="40"/>
    </row>
    <row r="6511" spans="2:6">
      <c r="B6511" s="8"/>
      <c r="C6511" s="8"/>
      <c r="D6511" s="8"/>
      <c r="E6511" s="39"/>
      <c r="F6511" s="40"/>
    </row>
    <row r="6512" spans="2:6">
      <c r="B6512" s="8"/>
      <c r="C6512" s="8"/>
      <c r="D6512" s="8"/>
      <c r="E6512" s="39"/>
      <c r="F6512" s="40"/>
    </row>
    <row r="6513" spans="2:6">
      <c r="B6513" s="8"/>
      <c r="C6513" s="8"/>
      <c r="D6513" s="8"/>
      <c r="E6513" s="39"/>
      <c r="F6513" s="40"/>
    </row>
    <row r="6514" spans="2:6">
      <c r="B6514" s="8"/>
      <c r="C6514" s="8"/>
      <c r="D6514" s="8"/>
      <c r="E6514" s="39"/>
      <c r="F6514" s="40"/>
    </row>
    <row r="6515" spans="2:6">
      <c r="B6515" s="8"/>
      <c r="C6515" s="8"/>
      <c r="D6515" s="8"/>
      <c r="E6515" s="39"/>
      <c r="F6515" s="40"/>
    </row>
    <row r="6516" spans="2:6">
      <c r="B6516" s="8"/>
      <c r="C6516" s="8"/>
      <c r="D6516" s="8"/>
      <c r="E6516" s="39"/>
      <c r="F6516" s="40"/>
    </row>
    <row r="6517" spans="2:6">
      <c r="B6517" s="8"/>
      <c r="C6517" s="8"/>
      <c r="D6517" s="8"/>
      <c r="E6517" s="39"/>
      <c r="F6517" s="40"/>
    </row>
    <row r="6518" spans="2:6">
      <c r="B6518" s="8"/>
      <c r="C6518" s="8"/>
      <c r="D6518" s="8"/>
      <c r="E6518" s="39"/>
      <c r="F6518" s="40"/>
    </row>
    <row r="6519" spans="2:6">
      <c r="B6519" s="8"/>
      <c r="C6519" s="8"/>
      <c r="D6519" s="8"/>
      <c r="E6519" s="39"/>
      <c r="F6519" s="40"/>
    </row>
    <row r="6520" spans="2:6">
      <c r="B6520" s="8"/>
      <c r="C6520" s="8"/>
      <c r="D6520" s="8"/>
      <c r="E6520" s="39"/>
      <c r="F6520" s="40"/>
    </row>
    <row r="6521" spans="2:6">
      <c r="B6521" s="8"/>
      <c r="C6521" s="8"/>
      <c r="D6521" s="8"/>
      <c r="E6521" s="39"/>
      <c r="F6521" s="40"/>
    </row>
    <row r="6522" spans="2:6">
      <c r="B6522" s="8"/>
      <c r="C6522" s="8"/>
      <c r="D6522" s="8"/>
      <c r="E6522" s="39"/>
      <c r="F6522" s="40"/>
    </row>
    <row r="6523" spans="2:6">
      <c r="B6523" s="8"/>
      <c r="C6523" s="8"/>
      <c r="D6523" s="8"/>
      <c r="E6523" s="39"/>
      <c r="F6523" s="40"/>
    </row>
    <row r="6524" spans="2:6">
      <c r="B6524" s="8"/>
      <c r="C6524" s="8"/>
      <c r="D6524" s="8"/>
      <c r="E6524" s="39"/>
      <c r="F6524" s="40"/>
    </row>
    <row r="6525" spans="2:6">
      <c r="B6525" s="8"/>
      <c r="C6525" s="8"/>
      <c r="D6525" s="8"/>
      <c r="E6525" s="39"/>
      <c r="F6525" s="40"/>
    </row>
    <row r="6526" spans="2:6">
      <c r="B6526" s="8"/>
      <c r="C6526" s="8"/>
      <c r="D6526" s="8"/>
      <c r="E6526" s="39"/>
      <c r="F6526" s="40"/>
    </row>
    <row r="6527" spans="2:6">
      <c r="B6527" s="8"/>
      <c r="C6527" s="8"/>
      <c r="D6527" s="8"/>
      <c r="E6527" s="39"/>
      <c r="F6527" s="40"/>
    </row>
    <row r="6528" spans="2:6">
      <c r="B6528" s="8"/>
      <c r="C6528" s="8"/>
      <c r="D6528" s="8"/>
      <c r="E6528" s="39"/>
      <c r="F6528" s="40"/>
    </row>
    <row r="6529" spans="2:6">
      <c r="B6529" s="8"/>
      <c r="C6529" s="8"/>
      <c r="D6529" s="8"/>
      <c r="E6529" s="39"/>
      <c r="F6529" s="40"/>
    </row>
    <row r="6530" spans="2:6">
      <c r="B6530" s="8"/>
      <c r="C6530" s="8"/>
      <c r="D6530" s="8"/>
      <c r="E6530" s="39"/>
      <c r="F6530" s="40"/>
    </row>
    <row r="6531" spans="2:6">
      <c r="B6531" s="8"/>
      <c r="C6531" s="8"/>
      <c r="D6531" s="8"/>
      <c r="E6531" s="39"/>
      <c r="F6531" s="40"/>
    </row>
    <row r="6532" spans="2:6">
      <c r="B6532" s="8"/>
      <c r="C6532" s="8"/>
      <c r="D6532" s="8"/>
      <c r="E6532" s="39"/>
      <c r="F6532" s="40"/>
    </row>
    <row r="6533" spans="2:6">
      <c r="B6533" s="8"/>
      <c r="C6533" s="8"/>
      <c r="D6533" s="8"/>
      <c r="E6533" s="39"/>
      <c r="F6533" s="40"/>
    </row>
    <row r="6534" spans="2:6">
      <c r="B6534" s="8"/>
      <c r="C6534" s="8"/>
      <c r="D6534" s="8"/>
      <c r="E6534" s="39"/>
      <c r="F6534" s="40"/>
    </row>
    <row r="6535" spans="2:6">
      <c r="B6535" s="8"/>
      <c r="C6535" s="8"/>
      <c r="D6535" s="8"/>
      <c r="E6535" s="39"/>
      <c r="F6535" s="40"/>
    </row>
    <row r="6536" spans="2:6">
      <c r="B6536" s="8"/>
      <c r="C6536" s="8"/>
      <c r="D6536" s="8"/>
      <c r="E6536" s="39"/>
      <c r="F6536" s="40"/>
    </row>
    <row r="6537" spans="2:6">
      <c r="B6537" s="8"/>
      <c r="C6537" s="8"/>
      <c r="D6537" s="8"/>
      <c r="E6537" s="39"/>
      <c r="F6537" s="40"/>
    </row>
    <row r="6538" spans="2:6">
      <c r="B6538" s="8"/>
      <c r="C6538" s="8"/>
      <c r="D6538" s="8"/>
      <c r="E6538" s="39"/>
      <c r="F6538" s="40"/>
    </row>
    <row r="6539" spans="2:6">
      <c r="B6539" s="8"/>
      <c r="C6539" s="8"/>
      <c r="D6539" s="8"/>
      <c r="E6539" s="39"/>
      <c r="F6539" s="40"/>
    </row>
    <row r="6540" spans="2:6">
      <c r="B6540" s="8"/>
      <c r="C6540" s="8"/>
      <c r="D6540" s="8"/>
      <c r="E6540" s="39"/>
      <c r="F6540" s="40"/>
    </row>
    <row r="6541" spans="2:6">
      <c r="B6541" s="8"/>
      <c r="C6541" s="8"/>
      <c r="D6541" s="8"/>
      <c r="E6541" s="39"/>
      <c r="F6541" s="40"/>
    </row>
    <row r="6542" spans="2:6">
      <c r="B6542" s="8"/>
      <c r="C6542" s="8"/>
      <c r="D6542" s="8"/>
      <c r="E6542" s="39"/>
      <c r="F6542" s="40"/>
    </row>
    <row r="6543" spans="2:6">
      <c r="B6543" s="8"/>
      <c r="C6543" s="8"/>
      <c r="D6543" s="8"/>
      <c r="E6543" s="39"/>
      <c r="F6543" s="40"/>
    </row>
    <row r="6544" spans="2:6">
      <c r="B6544" s="8"/>
      <c r="C6544" s="8"/>
      <c r="D6544" s="8"/>
      <c r="E6544" s="39"/>
      <c r="F6544" s="40"/>
    </row>
    <row r="6545" spans="2:6">
      <c r="B6545" s="8"/>
      <c r="C6545" s="8"/>
      <c r="D6545" s="8"/>
      <c r="E6545" s="39"/>
      <c r="F6545" s="40"/>
    </row>
    <row r="6546" spans="2:6">
      <c r="B6546" s="8"/>
      <c r="C6546" s="8"/>
      <c r="D6546" s="8"/>
      <c r="E6546" s="39"/>
      <c r="F6546" s="40"/>
    </row>
    <row r="6547" spans="2:6">
      <c r="B6547" s="8"/>
      <c r="C6547" s="8"/>
      <c r="D6547" s="8"/>
      <c r="E6547" s="39"/>
      <c r="F6547" s="40"/>
    </row>
    <row r="6548" spans="2:6">
      <c r="B6548" s="8"/>
      <c r="C6548" s="8"/>
      <c r="D6548" s="8"/>
      <c r="E6548" s="39"/>
      <c r="F6548" s="40"/>
    </row>
    <row r="6549" spans="2:6">
      <c r="B6549" s="8"/>
      <c r="C6549" s="8"/>
      <c r="D6549" s="8"/>
      <c r="E6549" s="39"/>
      <c r="F6549" s="40"/>
    </row>
    <row r="6550" spans="2:6">
      <c r="B6550" s="8"/>
      <c r="C6550" s="8"/>
      <c r="D6550" s="8"/>
      <c r="E6550" s="39"/>
      <c r="F6550" s="40"/>
    </row>
    <row r="6551" spans="2:6">
      <c r="B6551" s="8"/>
      <c r="C6551" s="8"/>
      <c r="D6551" s="8"/>
      <c r="E6551" s="39"/>
      <c r="F6551" s="40"/>
    </row>
    <row r="6552" spans="2:6">
      <c r="B6552" s="8"/>
      <c r="C6552" s="8"/>
      <c r="D6552" s="8"/>
      <c r="E6552" s="39"/>
      <c r="F6552" s="40"/>
    </row>
    <row r="6553" spans="2:6">
      <c r="B6553" s="8"/>
      <c r="C6553" s="8"/>
      <c r="D6553" s="8"/>
      <c r="E6553" s="39"/>
      <c r="F6553" s="40"/>
    </row>
    <row r="6554" spans="2:6">
      <c r="B6554" s="8"/>
      <c r="C6554" s="8"/>
      <c r="D6554" s="8"/>
      <c r="E6554" s="39"/>
      <c r="F6554" s="40"/>
    </row>
    <row r="6555" spans="2:6">
      <c r="B6555" s="8"/>
      <c r="C6555" s="8"/>
      <c r="D6555" s="8"/>
      <c r="E6555" s="39"/>
      <c r="F6555" s="40"/>
    </row>
    <row r="6556" spans="2:6">
      <c r="B6556" s="8"/>
      <c r="C6556" s="8"/>
      <c r="D6556" s="8"/>
      <c r="E6556" s="39"/>
      <c r="F6556" s="40"/>
    </row>
    <row r="6557" spans="2:6">
      <c r="B6557" s="8"/>
      <c r="C6557" s="8"/>
      <c r="D6557" s="8"/>
      <c r="E6557" s="39"/>
      <c r="F6557" s="40"/>
    </row>
    <row r="6558" spans="2:6">
      <c r="B6558" s="8"/>
      <c r="C6558" s="8"/>
      <c r="D6558" s="8"/>
      <c r="E6558" s="39"/>
      <c r="F6558" s="40"/>
    </row>
    <row r="6559" spans="2:6">
      <c r="B6559" s="8"/>
      <c r="C6559" s="8"/>
      <c r="D6559" s="8"/>
      <c r="E6559" s="39"/>
      <c r="F6559" s="40"/>
    </row>
    <row r="6560" spans="2:6">
      <c r="B6560" s="8"/>
      <c r="C6560" s="8"/>
      <c r="D6560" s="8"/>
      <c r="E6560" s="39"/>
      <c r="F6560" s="40"/>
    </row>
    <row r="6561" spans="2:6">
      <c r="B6561" s="8"/>
      <c r="C6561" s="8"/>
      <c r="D6561" s="8"/>
      <c r="E6561" s="39"/>
      <c r="F6561" s="40"/>
    </row>
    <row r="6562" spans="2:6">
      <c r="B6562" s="8"/>
      <c r="C6562" s="8"/>
      <c r="D6562" s="8"/>
      <c r="E6562" s="39"/>
      <c r="F6562" s="40"/>
    </row>
    <row r="6563" spans="2:6">
      <c r="B6563" s="8"/>
      <c r="C6563" s="8"/>
      <c r="D6563" s="8"/>
      <c r="E6563" s="39"/>
      <c r="F6563" s="40"/>
    </row>
  </sheetData>
  <autoFilter ref="B3:F3353" xr:uid="{00000000-0009-0000-0000-000006000000}">
    <filterColumn colId="4">
      <filters>
        <filter val="2026년 5월"/>
      </filters>
    </filterColumn>
  </autoFilter>
  <mergeCells count="1">
    <mergeCell ref="B2:F2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80ECDEA71BE7E488F050BD0D0654AC3" ma:contentTypeVersion="10" ma:contentTypeDescription="새 문서를 만듭니다." ma:contentTypeScope="" ma:versionID="ff8eb29c7948bb87f7e8aff0ed3e1ca9">
  <xsd:schema xmlns:xsd="http://www.w3.org/2001/XMLSchema" xmlns:xs="http://www.w3.org/2001/XMLSchema" xmlns:p="http://schemas.microsoft.com/office/2006/metadata/properties" xmlns:ns2="5711178f-7c9e-4e43-b4e6-b26a241f6344" xmlns:ns3="0bf4ac6c-f34a-4643-82f6-6640ad4b8639" targetNamespace="http://schemas.microsoft.com/office/2006/metadata/properties" ma:root="true" ma:fieldsID="7593d21037e2cff266a10626dd7580f5" ns2:_="" ns3:_="">
    <xsd:import namespace="5711178f-7c9e-4e43-b4e6-b26a241f6344"/>
    <xsd:import namespace="0bf4ac6c-f34a-4643-82f6-6640ad4b86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1178f-7c9e-4e43-b4e6-b26a241f63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2db74f55-b20a-4763-adbe-931e5ca4f7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4ac6c-f34a-4643-82f6-6640ad4b86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200e96b-5a35-4cde-8812-496486b5c38c}" ma:internalName="TaxCatchAll" ma:showField="CatchAllData" ma:web="0bf4ac6c-f34a-4643-82f6-6640ad4b86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f4ac6c-f34a-4643-82f6-6640ad4b8639" xsi:nil="true"/>
    <lcf76f155ced4ddcb4097134ff3c332f xmlns="5711178f-7c9e-4e43-b4e6-b26a241f634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B11A7E-F579-4BDC-8FCB-C80D3E355909}"/>
</file>

<file path=customXml/itemProps2.xml><?xml version="1.0" encoding="utf-8"?>
<ds:datastoreItem xmlns:ds="http://schemas.openxmlformats.org/officeDocument/2006/customXml" ds:itemID="{4E698435-D3EE-4087-B8DB-ACE620B7D110}"/>
</file>

<file path=customXml/itemProps3.xml><?xml version="1.0" encoding="utf-8"?>
<ds:datastoreItem xmlns:ds="http://schemas.openxmlformats.org/officeDocument/2006/customXml" ds:itemID="{57E2311E-EE0D-49C5-A77A-3651EDED1C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AD6123597P01</dc:creator>
  <cp:keywords/>
  <dc:description/>
  <cp:lastModifiedBy>서유림|주임|다이소|안전보건팀</cp:lastModifiedBy>
  <cp:revision/>
  <dcterms:created xsi:type="dcterms:W3CDTF">2022-07-04T07:27:20Z</dcterms:created>
  <dcterms:modified xsi:type="dcterms:W3CDTF">2026-07-08T01:49:49Z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0x010100080ECDEA71BE7E488F050BD0D0654AC3</vt:lpwstr>
  </property>
</Properties>
</file>